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_and_Methodology" sheetId="1" state="visible" r:id="rId3"/>
    <sheet name="Company_Financials" sheetId="2" state="visible" r:id="rId4"/>
    <sheet name="Restaurant_Market" sheetId="3" state="visible" r:id="rId5"/>
    <sheet name="Macroeconomic_Context" sheetId="4" state="visible" r:id="rId6"/>
    <sheet name="Operating_Indicators" sheetId="5" state="visible" r:id="rId7"/>
    <sheet name="KPI_Calculations" sheetId="6" state="visible" r:id="rId8"/>
    <sheet name="Source_Register" sheetId="7" state="visible" r:id="rId9"/>
    <sheet name="Data_Dictionary" sheetId="8" state="visible" r:id="rId10"/>
    <sheet name="Data_Quality_Checks" sheetId="9" state="visible" r:id="rId11"/>
  </sheets>
  <definedNames>
    <definedName function="false" hidden="true" localSheetId="1" name="_xlnm._FilterDatabase" vbProcedure="false">Company_Financials!$A$1:$S$68</definedName>
    <definedName function="false" hidden="true" localSheetId="7" name="_xlnm._FilterDatabase" vbProcedure="false">Data_Dictionary!$A$1:$C$19</definedName>
    <definedName function="false" hidden="true" localSheetId="5" name="_xlnm._FilterDatabase" vbProcedure="false">KPI_Calculations!$A$1:$R$36</definedName>
    <definedName function="false" hidden="true" localSheetId="3" name="_xlnm._FilterDatabase" vbProcedure="false">Macroeconomic_Context!$A$1:$S$55</definedName>
    <definedName function="false" hidden="true" localSheetId="4" name="_xlnm._FilterDatabase" vbProcedure="false">Operating_Indicators!$A$1:$S$47</definedName>
    <definedName function="false" hidden="true" localSheetId="2" name="_xlnm._FilterDatabase" vbProcedure="false">Restaurant_Market!$A$1:$S$41</definedName>
    <definedName function="false" hidden="true" localSheetId="6" name="_xlnm._FilterDatabase" vbProcedure="false">Source_Register!$A$1:$I$56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<sst xmlns="http://schemas.openxmlformats.org/spreadsheetml/2006/main" count="4670" uniqueCount="1491">
  <si>
    <t xml:space="preserve">City Grill Group: public financial data and market dataset</t>
  </si>
  <si>
    <t xml:space="preserve">Purpose</t>
  </si>
  <si>
    <t xml:space="preserve">Phase 1 dataset for a management BI project. Phase 2 (interactive dashboard) is not built here.</t>
  </si>
  <si>
    <t xml:space="preserve">Prepared</t>
  </si>
  <si>
    <t xml:space="preserve">Data accessed 2026-10-13. Period: FY2019-FY2025 plus 2026 year-to-date; earlier years only where needed for growth.</t>
  </si>
  <si>
    <t xml:space="preserve">Structure</t>
  </si>
  <si>
    <t xml:space="preserve">Four observation sheets (Company_Financials, Restaurant_Market, Macroeconomic_Context, Operating_Indicators) share one 19-column schema. Derived metrics are kept only in KPI_Calculations, which looks up inputs by Metric_ID with live formulas.</t>
  </si>
  <si>
    <t xml:space="preserve">Status taxonomy</t>
  </si>
  <si>
    <t xml:space="preserve">Reported actual, Reported target, Calculated, Estimated, Proxy, Unavailable. Targets and budgets are never treated as results or spend.</t>
  </si>
  <si>
    <t xml:space="preserve">Reliability grades</t>
  </si>
  <si>
    <t xml:space="preserve">A official statistics/primary; B company-reported via reputable outlet or official statistics relayed; C secondary/interview/approximate; D weak (third-party conversion, snippet, doubtful scope).</t>
  </si>
  <si>
    <t xml:space="preserve">Source access</t>
  </si>
  <si>
    <t xml:space="preserve">Original Ministry of Finance filings, INS TEMPO and Eurostat tables could not be queried directly in this environment. Company figures come from company releases reproduced by Bursa.ro, ZF, Profit.ro, News.ro and similar (Tier 2); INS and HORA figures come through media relays. See Source_Register.</t>
  </si>
  <si>
    <t xml:space="preserve">Group vs legal entity</t>
  </si>
  <si>
    <t xml:space="preserve">No legal-entity filings were summed into a group total. Marty Pan SRL (CF-041/042) is shown as a single pre-acquisition entity for context only.</t>
  </si>
  <si>
    <t xml:space="preserve">Currency method</t>
  </si>
  <si>
    <t xml:space="preserve">RON and EUR are not mixed unless a KPI says so. Where a conversion is needed, the BNR annual average EUR/RON of the same year (MA-020 to MA-026) is used. A 2026 YTD average is unavailable (MA-029); the October 2026 spot (MA-028) is a snapshot and is not used for revenue.</t>
  </si>
  <si>
    <t xml:space="preserve">Consolidated vs organic</t>
  </si>
  <si>
    <t xml:space="preserve">FY2025 consolidated EUR 90M includes Marty Restaurants and Aubergine, consolidated after the October 2024 majority stake. Growth on consolidated revenue is not organic. The company's 'existing brands' EUR 75M (+10%) is the closest like-for-like figure available; it is a company definition and not audited.</t>
  </si>
  <si>
    <t xml:space="preserve">Industry benchmark</t>
  </si>
  <si>
    <t xml:space="preserve">CAEN Rev.2 5610 (restaurants and mobile food service) and 5630 (beverage serving) form NACE I56. City Grill also operates hotels (5510), events (5621) and other concepts, so no CAEN class matches the whole group. Official CAEN 5610 turnover/enterprise counts were not obtained; HORA's filed-account analysis (restaurants and bars) is the nearest benchmark and INS volume indices give the real trend.</t>
  </si>
  <si>
    <t xml:space="preserve">Share proxies</t>
  </si>
  <si>
    <t xml:space="preserve">K25/K26 are proxies. Not official market share.</t>
  </si>
  <si>
    <t xml:space="preserve">Not available publicly</t>
  </si>
  <si>
    <t xml:space="preserve">Group EBITDA, operating profit, net profit, filed consolidated accounts, absolute H1 2026 revenue, traffic counts, 2026 average FX, household consumption and disposable income series, CAEN 5610 official turnover.</t>
  </si>
  <si>
    <t xml:space="preserve">Recalculation</t>
  </si>
  <si>
    <t xml:space="preserve">All KPI results are Excel formulas; Data_Quality_Checks also uses formulas. Open in Excel or LibreOffice to recompute.</t>
  </si>
  <si>
    <t xml:space="preserve">Colour key</t>
  </si>
  <si>
    <t xml:space="preserve">Status cells: green = Reported actual, yellow = Reported target, blue = Calculated, orange = Estimated, salmon = Proxy, grey = Unavailable.</t>
  </si>
  <si>
    <t xml:space="preserve">Sheet index</t>
  </si>
  <si>
    <t xml:space="preserve">README_and_Methodology</t>
  </si>
  <si>
    <t xml:space="preserve">Company_Financials</t>
  </si>
  <si>
    <t xml:space="preserve">Restaurant_Market</t>
  </si>
  <si>
    <t xml:space="preserve">Macroeconomic_Context</t>
  </si>
  <si>
    <t xml:space="preserve">Operating_Indicators</t>
  </si>
  <si>
    <t xml:space="preserve">KPI_Calculations</t>
  </si>
  <si>
    <t xml:space="preserve">Source_Register</t>
  </si>
  <si>
    <t xml:space="preserve">Data_Dictionary</t>
  </si>
  <si>
    <t xml:space="preserve">Data_Quality_Checks</t>
  </si>
  <si>
    <t xml:space="preserve">Metric_ID</t>
  </si>
  <si>
    <t xml:space="preserve">Metric_Name</t>
  </si>
  <si>
    <t xml:space="preserve">Reporting_Period</t>
  </si>
  <si>
    <t xml:space="preserve">Value</t>
  </si>
  <si>
    <t xml:space="preserve">Unit</t>
  </si>
  <si>
    <t xml:space="preserve">Currency</t>
  </si>
  <si>
    <t xml:space="preserve">Geography</t>
  </si>
  <si>
    <t xml:space="preserve">Entity_or_Group</t>
  </si>
  <si>
    <t xml:space="preserve">Reporting_Scope</t>
  </si>
  <si>
    <t xml:space="preserve">Metric_Status</t>
  </si>
  <si>
    <t xml:space="preserve">Source_URL</t>
  </si>
  <si>
    <t xml:space="preserve">Source_Title</t>
  </si>
  <si>
    <t xml:space="preserve">Source_Publisher</t>
  </si>
  <si>
    <t xml:space="preserve">Publication_Date</t>
  </si>
  <si>
    <t xml:space="preserve">Access_Date</t>
  </si>
  <si>
    <t xml:space="preserve">Evidence_or_Source_Note</t>
  </si>
  <si>
    <t xml:space="preserve">Reliability_Grade</t>
  </si>
  <si>
    <t xml:space="preserve">Comparability_Notes</t>
  </si>
  <si>
    <t xml:space="preserve">Source_ID</t>
  </si>
  <si>
    <t xml:space="preserve">CF-001</t>
  </si>
  <si>
    <t xml:space="preserve">Revenue (turnover), EUR as reported</t>
  </si>
  <si>
    <t xml:space="preserve">FY2018</t>
  </si>
  <si>
    <t xml:space="preserve">EUR m</t>
  </si>
  <si>
    <t xml:space="preserve">EUR</t>
  </si>
  <si>
    <t xml:space="preserve">Romania</t>
  </si>
  <si>
    <t xml:space="preserve">City Grill Group</t>
  </si>
  <si>
    <t xml:space="preserve">Group, company-reported (scope not defined)</t>
  </si>
  <si>
    <t xml:space="preserve">Reported actual</t>
  </si>
  <si>
    <t xml:space="preserve">https://www.bursa.ro/daniel-mischie-ceo-grup-city-grill-deficitul-de-forta-de-munca-in-horeca-s-a-adancit-anul-trecut-08391630</t>
  </si>
  <si>
    <t xml:space="preserve">Daniel Mischie, CEO Grup City Grill: Deficitul de forta de munca in HoReCa s-a adancit anul trecut</t>
  </si>
  <si>
    <t xml:space="preserve">Ziarul Bursa</t>
  </si>
  <si>
    <t xml:space="preserve">2019-01-23</t>
  </si>
  <si>
    <t xml:space="preserve">2026-10-13</t>
  </si>
  <si>
    <t xml:space="preserve">+EUR 4M / +11% vs 2017 per company.</t>
  </si>
  <si>
    <t xml:space="preserve">B</t>
  </si>
  <si>
    <t xml:space="preserve">Conflicts with RON 165M (CF-002): implied 4.38 RON/EUR is far below 2019-2020 BNR averages (4.75-4.84). Use RON series for 2018-2019 growth.</t>
  </si>
  <si>
    <t xml:space="preserve">S12</t>
  </si>
  <si>
    <t xml:space="preserve">CF-002</t>
  </si>
  <si>
    <t xml:space="preserve">Revenue (turnover), RON as reported</t>
  </si>
  <si>
    <t xml:space="preserve">RON m</t>
  </si>
  <si>
    <t xml:space="preserve">RON</t>
  </si>
  <si>
    <t xml:space="preserve">Group, company-reported</t>
  </si>
  <si>
    <t xml:space="preserve">https://www.capital.ro/grupul-city-grill-afaceri-de-187-milioane-de-lei-in-2019-crestere-de-13.html</t>
  </si>
  <si>
    <t xml:space="preserve">Grupul City Grill: Afaceri de 187 milioane de lei in 2019, crestere de 13%</t>
  </si>
  <si>
    <t xml:space="preserve">Capital.ro</t>
  </si>
  <si>
    <t xml:space="preserve">2020-02-10</t>
  </si>
  <si>
    <t xml:space="preserve">Stated as comparison base for 2019.</t>
  </si>
  <si>
    <t xml:space="preserve">See CF-001.</t>
  </si>
  <si>
    <t xml:space="preserve">S11</t>
  </si>
  <si>
    <t xml:space="preserve">CF-003</t>
  </si>
  <si>
    <t xml:space="preserve">FY2019</t>
  </si>
  <si>
    <t xml:space="preserve">Reported +13% vs 2018.</t>
  </si>
  <si>
    <t xml:space="preserve">Pre-pandemic baseline; pre-Marty/Aubergine scope.</t>
  </si>
  <si>
    <t xml:space="preserve">CF-004</t>
  </si>
  <si>
    <t xml:space="preserve">Revenue estimate/target announced during year, EUR</t>
  </si>
  <si>
    <t xml:space="preserve">Reported target</t>
  </si>
  <si>
    <t xml:space="preserve">https://www.wall-street.ro/articol/Companii/241391/grupul-city-grill-estimeaza-o-cifra-de-afaceri-de-42-milioane-euro-si-5-milioane-de-clienti.html</t>
  </si>
  <si>
    <t xml:space="preserve">Grupul City Grill estimeaza o cifra de afaceri de 42 milioane euro si 5 milioane de clienti</t>
  </si>
  <si>
    <t xml:space="preserve">Wall-Street.ro</t>
  </si>
  <si>
    <t xml:space="preserve">2019-05-29</t>
  </si>
  <si>
    <t xml:space="preserve">Published May 2019 as 2019 estimate (+11% on EUR 37.7M).</t>
  </si>
  <si>
    <t xml:space="preserve">C</t>
  </si>
  <si>
    <t xml:space="preserve">Forecast, not an actual. Actual RON 187M converts to ~EUR 39.4M (KPI K02).</t>
  </si>
  <si>
    <t xml:space="preserve">S14</t>
  </si>
  <si>
    <t xml:space="preserve">CF-005</t>
  </si>
  <si>
    <t xml:space="preserve">Revenue (turnover) H1</t>
  </si>
  <si>
    <t xml:space="preserve">H1 2019</t>
  </si>
  <si>
    <t xml:space="preserve">https://www.revistabiz.ro/grupul-city-grill-afaceri-de-19-milioane-euro-in-prima-jumatate-a-anului/</t>
  </si>
  <si>
    <t xml:space="preserve">Grupul City Grill: Afaceri de 19 milioane euro in prima jumatate a anului</t>
  </si>
  <si>
    <t xml:space="preserve">Revista Biz</t>
  </si>
  <si>
    <t xml:space="preserve">2019-08-13</t>
  </si>
  <si>
    <t xml:space="preserve">+11% vs H1 2018 (RON 81M).</t>
  </si>
  <si>
    <t xml:space="preserve">S13</t>
  </si>
  <si>
    <t xml:space="preserve">CF-006</t>
  </si>
  <si>
    <t xml:space="preserve">Revenue (turnover) H1, EUR as reported</t>
  </si>
  <si>
    <t xml:space="preserve">Company/Romania-Insider conversion of RON 90M.</t>
  </si>
  <si>
    <t xml:space="preserve">CF-007</t>
  </si>
  <si>
    <t xml:space="preserve">Revenue (turnover) 9 months</t>
  </si>
  <si>
    <t xml:space="preserve">9M 2019</t>
  </si>
  <si>
    <t xml:space="preserve">https://www.zfenglish.com/tags/city+grill</t>
  </si>
  <si>
    <t xml:space="preserve">ZF English tag listing 'City Grill' (headlines: 2019 RON187M; 9M 2019 RON148M; 2022 EUR42M; 2024 forecast EUR65M; Jan-Jul 2025 +9%)</t>
  </si>
  <si>
    <t xml:space="preserve">ZF English / Ziarul Financiar</t>
  </si>
  <si>
    <t xml:space="preserve">2019-2025 (per headline)</t>
  </si>
  <si>
    <t xml:space="preserve">ZF English headline: +13% yoy.</t>
  </si>
  <si>
    <t xml:space="preserve">Headline only.</t>
  </si>
  <si>
    <t xml:space="preserve">S08</t>
  </si>
  <si>
    <t xml:space="preserve">CF-008</t>
  </si>
  <si>
    <t xml:space="preserve">Revenue growth as reported</t>
  </si>
  <si>
    <t xml:space="preserve">%</t>
  </si>
  <si>
    <t xml:space="preserve">Company-stated growth.</t>
  </si>
  <si>
    <t xml:space="preserve">CF-009</t>
  </si>
  <si>
    <t xml:space="preserve">Revenue growth target</t>
  </si>
  <si>
    <t xml:space="preserve">FY2020</t>
  </si>
  <si>
    <t xml:space="preserve">https://www.businessmagazin.ro/actualitate/cel-mai-mare-lant-romanesc-de-restaurante-se-indreapta-spre-afaceri-de-40-mil-euro-compania-si-a-crescut-afacerile-cu-13-anul-trecut-18820643</t>
  </si>
  <si>
    <t xml:space="preserve">Cel mai mare lant romanesc de restaurante se indreapta spre afaceri de 40 mil. euro</t>
  </si>
  <si>
    <t xml:space="preserve">Business Magazin</t>
  </si>
  <si>
    <t xml:space="preserve">2020-02 (approx.)</t>
  </si>
  <si>
    <t xml:space="preserve">Plan set Feb 2020, before the pandemic.</t>
  </si>
  <si>
    <t xml:space="preserve">Target, not performance.</t>
  </si>
  <si>
    <t xml:space="preserve">S41</t>
  </si>
  <si>
    <t xml:space="preserve">CF-010</t>
  </si>
  <si>
    <t xml:space="preserve">Revenue target</t>
  </si>
  <si>
    <t xml:space="preserve">ZF English headline 'targets RON200M'.</t>
  </si>
  <si>
    <t xml:space="preserve">Rounded headline; 187 x 1.12 = 209.4.</t>
  </si>
  <si>
    <t xml:space="preserve">CF-011</t>
  </si>
  <si>
    <t xml:space="preserve">Revenue (turnover), EUR as stated</t>
  </si>
  <si>
    <t xml:space="preserve">Group, founder recollection</t>
  </si>
  <si>
    <t xml:space="preserve">Estimated</t>
  </si>
  <si>
    <t xml:space="preserve">https://www.puterea.ro/?p=349527</t>
  </si>
  <si>
    <t xml:space="preserve">Grupul City Grill, 20 de ani de activitate in industria ospitalitatii din Romania (ZF interview reproduced)</t>
  </si>
  <si>
    <t xml:space="preserve">Puterea.ro</t>
  </si>
  <si>
    <t xml:space="preserve">2024-05-28 (interview date unavailable)</t>
  </si>
  <si>
    <t xml:space="preserve">'Fell abruptly to EUR 16M' (pandemic).</t>
  </si>
  <si>
    <t xml:space="preserve">Rounded interview figure; not a filed statement.</t>
  </si>
  <si>
    <t xml:space="preserve">S15</t>
  </si>
  <si>
    <t xml:space="preserve">CF-012</t>
  </si>
  <si>
    <t xml:space="preserve">FY2021</t>
  </si>
  <si>
    <t xml:space="preserve">'Rose towards EUR 25M'.</t>
  </si>
  <si>
    <t xml:space="preserve">Rounded interview figure.</t>
  </si>
  <si>
    <t xml:space="preserve">CF-013</t>
  </si>
  <si>
    <t xml:space="preserve">Revenue year-end estimate, EUR</t>
  </si>
  <si>
    <t xml:space="preserve">FY2022</t>
  </si>
  <si>
    <t xml:space="preserve">ZF English headline: 'will end 2022 with over EUR 42M'.</t>
  </si>
  <si>
    <t xml:space="preserve">Pre-year-end estimate; superseded by CF-014 (see conflict note).</t>
  </si>
  <si>
    <t xml:space="preserve">CF-014</t>
  </si>
  <si>
    <t xml:space="preserve">'EUR 44M last year'; also 'exceeded pre-pandemic by EUR 4M'.</t>
  </si>
  <si>
    <t xml:space="preserve">Preferred over CF-013: later, retrospective and consistent with 2023 estimate +18% (52/1.18 = 44.1). Still rounded.</t>
  </si>
  <si>
    <t xml:space="preserve">CF-015</t>
  </si>
  <si>
    <t xml:space="preserve">FY2023</t>
  </si>
  <si>
    <t xml:space="preserve">'Estimated for 2023', +18% vs 2022.</t>
  </si>
  <si>
    <t xml:space="preserve">Superseded by CF-016/CF-017.</t>
  </si>
  <si>
    <t xml:space="preserve">CF-016</t>
  </si>
  <si>
    <t xml:space="preserve">https://romania-insider.com/city-grill-group-estimates-over-eur-60-mln-turnover-2024</t>
  </si>
  <si>
    <t xml:space="preserve">City Grill Group estimates over EUR 60 mln turnover in 2024</t>
  </si>
  <si>
    <t xml:space="preserve">Romania-Insider (company release)</t>
  </si>
  <si>
    <t xml:space="preserve">2024-02-01</t>
  </si>
  <si>
    <t xml:space="preserve">Company release Feb 2024.</t>
  </si>
  <si>
    <t xml:space="preserve">Differs from CF-018 (56.5): later RON restatement; ~2.7% apart.</t>
  </si>
  <si>
    <t xml:space="preserve">S09</t>
  </si>
  <si>
    <t xml:space="preserve">CF-017</t>
  </si>
  <si>
    <t xml:space="preserve">https://www.bursa.ro/city-grill-group-cifra-de-afaceri-de-90-milioane-euro-in-2025-si-venituri-in-crestere-cu-10-procente-23555851</t>
  </si>
  <si>
    <t xml:space="preserve">City Grill Group: Cifra de afaceri de 90 milioane euro in 2025 si venituri in crestere cu 10%</t>
  </si>
  <si>
    <t xml:space="preserve">Bursa.ro (reproducing company press release)</t>
  </si>
  <si>
    <t xml:space="preserve">2026-03-03</t>
  </si>
  <si>
    <t xml:space="preserve">Retrospective figure in the Mar-2026 release; used as 2024 growth base.</t>
  </si>
  <si>
    <t xml:space="preserve">Preferred for 2023-2024 growth: same source and currency as FY2024.</t>
  </si>
  <si>
    <t xml:space="preserve">S01</t>
  </si>
  <si>
    <t xml:space="preserve">CF-018</t>
  </si>
  <si>
    <t xml:space="preserve">Revenue (turnover), EUR equivalent per company</t>
  </si>
  <si>
    <t xml:space="preserve">'circa 56.5M euro' for RON 280M (= BNR avg 4.9464, within 0.2%).</t>
  </si>
  <si>
    <t xml:space="preserve">Company conversion; consistent with BNR average.</t>
  </si>
  <si>
    <t xml:space="preserve">CF-019</t>
  </si>
  <si>
    <t xml:space="preserve">Revenue, EUR conversion by third party</t>
  </si>
  <si>
    <t xml:space="preserve">Group, third-party conversion</t>
  </si>
  <si>
    <t xml:space="preserve">Proxy</t>
  </si>
  <si>
    <t xml:space="preserve">https://rhn.ro/en/city-grill-targets-e100-million-turnover-in-2026/</t>
  </si>
  <si>
    <t xml:space="preserve">City Grill Targets EUR 100M Turnover by 2026 (RHN conversion of RON figures)</t>
  </si>
  <si>
    <t xml:space="preserve">Romania HoReCa News (rhn.ro)</t>
  </si>
  <si>
    <t xml:space="preserve">2026-03 (approx.)</t>
  </si>
  <si>
    <t xml:space="preserve">Implies single ~5.098 RON/EUR (2026 spot-type) rate, not the 2023 average.</t>
  </si>
  <si>
    <t xml:space="preserve">D</t>
  </si>
  <si>
    <t xml:space="preserve">Not recommended: wrong-period FX. Preserved for transparency.</t>
  </si>
  <si>
    <t xml:space="preserve">S39</t>
  </si>
  <si>
    <t xml:space="preserve">CF-020</t>
  </si>
  <si>
    <t xml:space="preserve">Revenue floor target announced</t>
  </si>
  <si>
    <t xml:space="preserve">FY2024</t>
  </si>
  <si>
    <t xml:space="preserve">'exceed EUR 60M' (Feb 2024).</t>
  </si>
  <si>
    <t xml:space="preserve">CF-021</t>
  </si>
  <si>
    <t xml:space="preserve">Revenue estimate</t>
  </si>
  <si>
    <t xml:space="preserve">https://www.thediplomat.ro/2024/05/29/city-grill-group-estimates-turnover-of-60-million-euros-for-2024-has-budgeted-investments-of-over-20-million-euros/</t>
  </si>
  <si>
    <t xml:space="preserve">City Grill Group estimates turnover of 60 million euros for 2024, has budgeted investments of over 20 million euros</t>
  </si>
  <si>
    <t xml:space="preserve">The Diplomat Bucharest</t>
  </si>
  <si>
    <t xml:space="preserve">2024-05-29</t>
  </si>
  <si>
    <t xml:space="preserve">May 2024 estimate.</t>
  </si>
  <si>
    <t xml:space="preserve">Same level as CF-020.</t>
  </si>
  <si>
    <t xml:space="preserve">S42</t>
  </si>
  <si>
    <t xml:space="preserve">CF-022</t>
  </si>
  <si>
    <t xml:space="preserve">Revenue forecast</t>
  </si>
  <si>
    <t xml:space="preserve">Sep 2024: EUR 65M, +18% vs 2023.</t>
  </si>
  <si>
    <t xml:space="preserve">Headline/teaser only.</t>
  </si>
  <si>
    <t xml:space="preserve">CF-023</t>
  </si>
  <si>
    <t xml:space="preserve">H1 2024</t>
  </si>
  <si>
    <t xml:space="preserve">https://www.romania-insider.com/business/city-grill-group-eur-31-mln-revenue-first-6-months-18-growth</t>
  </si>
  <si>
    <t xml:space="preserve">City Grill Group: EUR 31 mln in revenue in the first 6 months, 18% growth</t>
  </si>
  <si>
    <t xml:space="preserve">2024-07-30</t>
  </si>
  <si>
    <t xml:space="preserve">+18% vs H1 2023.</t>
  </si>
  <si>
    <t xml:space="preserve">S10</t>
  </si>
  <si>
    <t xml:space="preserve">CF-024</t>
  </si>
  <si>
    <t xml:space="preserve">CF-025</t>
  </si>
  <si>
    <t xml:space="preserve">Marty (55% acquired Oct 2024) inclusion not stated.</t>
  </si>
  <si>
    <t xml:space="preserve">Scope vs Marty/Aubergine unconfirmed; 2025 'existing brands' base derived from this.</t>
  </si>
  <si>
    <t xml:space="preserve">CF-026</t>
  </si>
  <si>
    <t xml:space="preserve">'about 68M euro'; BNR avg 4.9746 gives 68.1.</t>
  </si>
  <si>
    <t xml:space="preserve">CF-027</t>
  </si>
  <si>
    <t xml:space="preserve">Same ~5.098 rate as CF-019.</t>
  </si>
  <si>
    <t xml:space="preserve">Not recommended.</t>
  </si>
  <si>
    <t xml:space="preserve">CF-028</t>
  </si>
  <si>
    <t xml:space="preserve">Revenue (turnover), consolidated</t>
  </si>
  <si>
    <t xml:space="preserve">FY2025</t>
  </si>
  <si>
    <t xml:space="preserve">Consolidated incl. Marty Restaurants and Aubergine</t>
  </si>
  <si>
    <t xml:space="preserve">'Cifra de afaceri consolidata'. Company-reported; filed consolidated accounts not available.</t>
  </si>
  <si>
    <t xml:space="preserve">Includes acquired/integrated brands - NOT organic.</t>
  </si>
  <si>
    <t xml:space="preserve">CF-029</t>
  </si>
  <si>
    <t xml:space="preserve">Revenue, existing brands (active also in 2024) - continuing operations</t>
  </si>
  <si>
    <t xml:space="preserve">Existing brands only (company definition)</t>
  </si>
  <si>
    <t xml:space="preserve">'+10% vs 2024'. Company-defined; like-for-like status not independently verified.</t>
  </si>
  <si>
    <t xml:space="preserve">Best available continuing-operations measure; not certified as organic/LFL.</t>
  </si>
  <si>
    <t xml:space="preserve">CF-030</t>
  </si>
  <si>
    <t xml:space="preserve">Revenue growth, existing brands as reported</t>
  </si>
  <si>
    <t xml:space="preserve">Existing brands only</t>
  </si>
  <si>
    <t xml:space="preserve">CF-031</t>
  </si>
  <si>
    <t xml:space="preserve">Sales growth Jan-Jul</t>
  </si>
  <si>
    <t xml:space="preserve">Jan-Jul 2025</t>
  </si>
  <si>
    <t xml:space="preserve">not stated</t>
  </si>
  <si>
    <t xml:space="preserve">Scope not stated</t>
  </si>
  <si>
    <t xml:space="preserve">ZF English headline 2025-08-13: +9% 'despite a shrinking market'.</t>
  </si>
  <si>
    <t xml:space="preserve">Headline only; scope unknown.</t>
  </si>
  <si>
    <t xml:space="preserve">CF-032</t>
  </si>
  <si>
    <t xml:space="preserve">Revenue (turnover) 10 months</t>
  </si>
  <si>
    <t xml:space="preserve">Jan-Oct 2025</t>
  </si>
  <si>
    <t xml:space="preserve">Scope not stated (see Q11)</t>
  </si>
  <si>
    <t xml:space="preserve">https://www.news.ro/economic/lantul-de-restaurante-city-grill-group-a-incheiat-primele-zece-luni-cu-o-cifra-de-afaceri-de-63-5-milioane-de-euro-in-crestere-cu-13-fata-de-anul-trecut-1922404517072025111522240484</t>
  </si>
  <si>
    <t xml:space="preserve">Lantul de restaurante City Grill Group a incheiat primele zece luni cu o cifra de afaceri de 63,5 milioane de euro, in crestere cu 13%</t>
  </si>
  <si>
    <t xml:space="preserve">News.ro</t>
  </si>
  <si>
    <t xml:space="preserve">2025-11 (approx.)</t>
  </si>
  <si>
    <t xml:space="preserve">Published Nov 2025.</t>
  </si>
  <si>
    <t xml:space="preserve">Arithmetic suggests existing-brand scope (63.5/75 = 85% of FY vs 83% time share).</t>
  </si>
  <si>
    <t xml:space="preserve">S07</t>
  </si>
  <si>
    <t xml:space="preserve">CF-033</t>
  </si>
  <si>
    <t xml:space="preserve">Revenue growth 10 months as reported</t>
  </si>
  <si>
    <t xml:space="preserve">CF-034</t>
  </si>
  <si>
    <t xml:space="preserve">Revenue growth H1 as reported</t>
  </si>
  <si>
    <t xml:space="preserve">H1 2026</t>
  </si>
  <si>
    <t xml:space="preserve">https://rhn.ro/en/city-grill-invests-eur-6-5-million-and-expands-network/</t>
  </si>
  <si>
    <t xml:space="preserve">City Grill invests EUR 6.5 million and expands network</t>
  </si>
  <si>
    <t xml:space="preserve">2026-07/08 (approx.)</t>
  </si>
  <si>
    <t xml:space="preserve">Founder: below the 10-12% 2026 objective; recovery expected in H2 via openings.</t>
  </si>
  <si>
    <t xml:space="preserve">Absolute H1 2026 revenue unavailable. Second source: S06.</t>
  </si>
  <si>
    <t xml:space="preserve">S05</t>
  </si>
  <si>
    <t xml:space="preserve">CF-035</t>
  </si>
  <si>
    <t xml:space="preserve">FY2026</t>
  </si>
  <si>
    <t xml:space="preserve">Consolidated</t>
  </si>
  <si>
    <t xml:space="preserve">Management ambition ('threshold of EUR 100M').</t>
  </si>
  <si>
    <t xml:space="preserve">CF-036</t>
  </si>
  <si>
    <t xml:space="preserve">Revenue target (budget)</t>
  </si>
  <si>
    <t xml:space="preserve">Group, 'over RON 500M'</t>
  </si>
  <si>
    <t xml:space="preserve">https://epochdaily.ro/economie/grupul-city-grill-depaseste-pentru-prima-data-pragul-de-500-mil-lei-afaceri-in-timp-ce-piata-horeca-scade</t>
  </si>
  <si>
    <t xml:space="preserve">Grupul City Grill depaseste pentru prima data pragul de 500 mil. lei afaceri, in timp ce piata HoReCa scade</t>
  </si>
  <si>
    <t xml:space="preserve">Epoch Daily Romania</t>
  </si>
  <si>
    <t xml:space="preserve">2026-07 (approx.)</t>
  </si>
  <si>
    <t xml:space="preserve">'Over 500M lei for the first time'.</t>
  </si>
  <si>
    <t xml:space="preserve">EUR value depends on FX: ~EUR 99M at 5.04 vs ~EUR 94M at 5.34.</t>
  </si>
  <si>
    <t xml:space="preserve">S06</t>
  </si>
  <si>
    <t xml:space="preserve">CF-037</t>
  </si>
  <si>
    <t xml:space="preserve">Revenue growth target - low end</t>
  </si>
  <si>
    <t xml:space="preserve">Group</t>
  </si>
  <si>
    <t xml:space="preserve">Initial 2026 growth objective 10-12%.</t>
  </si>
  <si>
    <t xml:space="preserve">CF-038</t>
  </si>
  <si>
    <t xml:space="preserve">Revenue growth target - high end</t>
  </si>
  <si>
    <t xml:space="preserve">CF-039</t>
  </si>
  <si>
    <t xml:space="preserve">Long-term revenue ambition ('EUR 100M in 3-5 years')</t>
  </si>
  <si>
    <t xml:space="preserve">date unavailable</t>
  </si>
  <si>
    <t xml:space="preserve">ZF English headline; publication date not captured.</t>
  </si>
  <si>
    <t xml:space="preserve">Undated; do not use for target tracking.</t>
  </si>
  <si>
    <t xml:space="preserve">CF-040</t>
  </si>
  <si>
    <t xml:space="preserve">Revenue ambition, Constanta Casino cafe, first year</t>
  </si>
  <si>
    <t xml:space="preserve">FY2026-27</t>
  </si>
  <si>
    <t xml:space="preserve">City Grill Cazino (single unit)</t>
  </si>
  <si>
    <t xml:space="preserve">Single outlet</t>
  </si>
  <si>
    <t xml:space="preserve">https://www.wall-street.ro/articol/horeca/dragos-petrescu-si-daniel-mischie-dupa-peste-20-de-ani-in-restaurante.html</t>
  </si>
  <si>
    <t xml:space="preserve">Dragos Petrescu si Daniel Mischie, dupa peste 20 de ani in restaurante</t>
  </si>
  <si>
    <t xml:space="preserve">2026-06-30</t>
  </si>
  <si>
    <t xml:space="preserve">Founder: 'over EUR 1M, optimistic'.</t>
  </si>
  <si>
    <t xml:space="preserve">S04</t>
  </si>
  <si>
    <t xml:space="preserve">CF-041</t>
  </si>
  <si>
    <t xml:space="preserve">Revenue, legal entity Marty Pan SRL</t>
  </si>
  <si>
    <t xml:space="preserve">Marty Pan SRL</t>
  </si>
  <si>
    <t xml:space="preserve">Single legal entity (pre-acquisition)</t>
  </si>
  <si>
    <t xml:space="preserve">https://www.zf.ro/zf-24/tranzactie-piata-horeca-grupul-restaurante-city-grill-controlat-22509996</t>
  </si>
  <si>
    <t xml:space="preserve">Tranzactie pe piata HoReCa: City Grill preia pachetul majoritar al lantului Marty din Cluj</t>
  </si>
  <si>
    <t xml:space="preserve">Ziarul Financiar / Actual de Cluj</t>
  </si>
  <si>
    <t xml:space="preserve">2024-10-09</t>
  </si>
  <si>
    <t xml:space="preserve">MFinante filing as cited by ZF.</t>
  </si>
  <si>
    <t xml:space="preserve">Do not add to group totals.</t>
  </si>
  <si>
    <t xml:space="preserve">S17</t>
  </si>
  <si>
    <t xml:space="preserve">CF-042</t>
  </si>
  <si>
    <t xml:space="preserve">Net profit, legal entity Marty Pan SRL</t>
  </si>
  <si>
    <t xml:space="preserve">Entity-level; 34% net margin is atypical for the sector.</t>
  </si>
  <si>
    <t xml:space="preserve">CF-043</t>
  </si>
  <si>
    <t xml:space="preserve">Net profit attributed to 'Grupul City Grill' in ZF ranking</t>
  </si>
  <si>
    <t xml:space="preserve">Unverified (entity/aggregate unclear)</t>
  </si>
  <si>
    <t xml:space="preserve">Unknown</t>
  </si>
  <si>
    <t xml:space="preserve">https://www-statista-com.ezproxy.canberra.edu.au/statistics/1411166/romania-restaurants-and-cafes-by-net-profit</t>
  </si>
  <si>
    <t xml:space="preserve">Leading restaurants and cafes in Romania from 2021 to 2023, by net profit (ZF chart, 13 Jun 2024)</t>
  </si>
  <si>
    <t xml:space="preserve">Statista (mirror of Ziarul Financiar chart)</t>
  </si>
  <si>
    <t xml:space="preserve">2024-06-13 (original ZF)</t>
  </si>
  <si>
    <t xml:space="preserve">Statista caption of ZF chart. Another ranking attributes a top-3 profit entity to 'Blue Restaurant' (City Cafeteria).</t>
  </si>
  <si>
    <t xml:space="preserve">Unsuitable for margins: may be one legal entity or an aggregation of filings.</t>
  </si>
  <si>
    <t xml:space="preserve">S18</t>
  </si>
  <si>
    <t xml:space="preserve">CF-044</t>
  </si>
  <si>
    <t xml:space="preserve">EBITDA (group)</t>
  </si>
  <si>
    <t xml:space="preserve">FY2019-FY2025</t>
  </si>
  <si>
    <t xml:space="preserve">n/a</t>
  </si>
  <si>
    <t xml:space="preserve">Unavailable</t>
  </si>
  <si>
    <t xml:space="preserve">No explicit EBITDA published by the company in any retrieved source.</t>
  </si>
  <si>
    <t xml:space="preserve">Not available from public data.</t>
  </si>
  <si>
    <t xml:space="preserve">CF-045</t>
  </si>
  <si>
    <t xml:space="preserve">Operating profit (group)</t>
  </si>
  <si>
    <t xml:space="preserve">No group operating result published; consolidated accounts not accessible via MFinante in this session.</t>
  </si>
  <si>
    <t xml:space="preserve">CF-046</t>
  </si>
  <si>
    <t xml:space="preserve">Net profit (group, consolidated)</t>
  </si>
  <si>
    <t xml:space="preserve">Not published. Legal-entity filings exist but cannot be summed without a verified perimeter.</t>
  </si>
  <si>
    <t xml:space="preserve">CF-050</t>
  </si>
  <si>
    <t xml:space="preserve">Investment expenditure</t>
  </si>
  <si>
    <t xml:space="preserve">CF-051</t>
  </si>
  <si>
    <t xml:space="preserve">Investment budget</t>
  </si>
  <si>
    <t xml:space="preserve">https://www.revistabiz.ro/crestere-de-15-pentru-city-grill/</t>
  </si>
  <si>
    <t xml:space="preserve">Crestere de 15% pentru City Grill (H1 2018; 2018 investment budget EUR 4.5M)</t>
  </si>
  <si>
    <t xml:space="preserve">2018-08-23</t>
  </si>
  <si>
    <t xml:space="preserve">Budget stated Aug 2018; actual was 2.3 (company: 'we did not rush expansion').</t>
  </si>
  <si>
    <t xml:space="preserve">Planned, not spent.</t>
  </si>
  <si>
    <t xml:space="preserve">S45</t>
  </si>
  <si>
    <t xml:space="preserve">CF-052</t>
  </si>
  <si>
    <t xml:space="preserve">https://www.profit.ro/povesti-cu-profit/retail/grupul-city-grill-a-planificat-investitii-de-3-5-milioane-euro-in-acest-an-19030249</t>
  </si>
  <si>
    <t xml:space="preserve">Grupul City Grill a planificat investitii de 3,5 milioane euro in acest an (2019)</t>
  </si>
  <si>
    <t xml:space="preserve">Profit.ro</t>
  </si>
  <si>
    <t xml:space="preserve">2019-01 (approx.)</t>
  </si>
  <si>
    <t xml:space="preserve">Planned.</t>
  </si>
  <si>
    <t xml:space="preserve">S37</t>
  </si>
  <si>
    <t xml:space="preserve">CF-053</t>
  </si>
  <si>
    <t xml:space="preserve">Investment expenditure (stated as 'over')</t>
  </si>
  <si>
    <t xml:space="preserve">Buongiorno Primaverii refit, Hanu' Berarilor Oprea Soare, Becker Brau, Hanu' lui Manuc extension.</t>
  </si>
  <si>
    <t xml:space="preserve">Lower bound ('peste 3,8').</t>
  </si>
  <si>
    <t xml:space="preserve">CF-054</t>
  </si>
  <si>
    <t xml:space="preserve">'3-4 times larger than in 2020 and 2021'.</t>
  </si>
  <si>
    <t xml:space="preserve">Planned; headline only.</t>
  </si>
  <si>
    <t xml:space="preserve">CF-055</t>
  </si>
  <si>
    <t xml:space="preserve">Planned investment - new central kitchen (Otopeni)</t>
  </si>
  <si>
    <t xml:space="preserve">2022-2023</t>
  </si>
  <si>
    <t xml:space="preserve">Project</t>
  </si>
  <si>
    <t xml:space="preserve">https://www.forbes.ro/?p=268395</t>
  </si>
  <si>
    <t xml:space="preserve">Grupul City Grill: investitii 2022-2023 (Forbes Romania interview)</t>
  </si>
  <si>
    <t xml:space="preserve">Forbes.ro</t>
  </si>
  <si>
    <t xml:space="preserve">2022 (approx.)</t>
  </si>
  <si>
    <t xml:space="preserve">S44</t>
  </si>
  <si>
    <t xml:space="preserve">CF-056</t>
  </si>
  <si>
    <t xml:space="preserve">Planned investment - three La Boheme hotels</t>
  </si>
  <si>
    <t xml:space="preserve">CF-057</t>
  </si>
  <si>
    <t xml:space="preserve">Investment projects completed (multi-year)</t>
  </si>
  <si>
    <t xml:space="preserve">Group projects completed in 2023</t>
  </si>
  <si>
    <t xml:space="preserve">EUR 13M Hanu' Berarilor-Oprea Soare + La Boheme; &gt;EUR 2.5M Buongiorno (started 2019).</t>
  </si>
  <si>
    <t xml:space="preserve">Cumulative multi-year project value, NOT annual capex. Do not chain with annual figures.</t>
  </si>
  <si>
    <t xml:space="preserve">CF-058</t>
  </si>
  <si>
    <t xml:space="preserve">Group, company-reported ('over 20')</t>
  </si>
  <si>
    <t xml:space="preserve">Restaurants plus hotel development.</t>
  </si>
  <si>
    <t xml:space="preserve">Planned; actual 2024 spend not disclosed.</t>
  </si>
  <si>
    <t xml:space="preserve">CF-059</t>
  </si>
  <si>
    <t xml:space="preserve">Investment expenditure H1</t>
  </si>
  <si>
    <t xml:space="preserve">Mainly airport units and Buongiorno / Hanu' Berarilor.</t>
  </si>
  <si>
    <t xml:space="preserve">CF-060</t>
  </si>
  <si>
    <t xml:space="preserve">Investment budget H2</t>
  </si>
  <si>
    <t xml:space="preserve">H2 2024</t>
  </si>
  <si>
    <t xml:space="preserve">https://www.zf.ro/companii/grupul-city-grill-investit-1-5-mil-euro-primele-sase-luni-2024-2-mil-22447987</t>
  </si>
  <si>
    <t xml:space="preserve">Grupul City Grill a investit 1,5 mil. euro in primele sase luni din 2024</t>
  </si>
  <si>
    <t xml:space="preserve">Ziarul Financiar</t>
  </si>
  <si>
    <t xml:space="preserve">2024-07-31</t>
  </si>
  <si>
    <t xml:space="preserve">Planned. Implies ~EUR 3.5M 2024 vs &gt;EUR 20M budget (CF-058).</t>
  </si>
  <si>
    <t xml:space="preserve">S40</t>
  </si>
  <si>
    <t xml:space="preserve">CF-061</t>
  </si>
  <si>
    <t xml:space="preserve">https://www.zf.ro/zf-24/city-grill-group-cel-mare-lant-restaurante-capital-romanesc-fondat-23073813</t>
  </si>
  <si>
    <t xml:space="preserve">City Grill Group ... a incheiat 2025 cu o cifra de afaceri consolidata de 90 de milioane de euro</t>
  </si>
  <si>
    <t xml:space="preserve">Pescarus EUR 1.5M, Hanu' lui Manuc EUR 0.55M, two Marty refits, Gloria Jean's franchise cafe.</t>
  </si>
  <si>
    <t xml:space="preserve">Company statement of amounts invested.</t>
  </si>
  <si>
    <t xml:space="preserve">S02</t>
  </si>
  <si>
    <t xml:space="preserve">CF-062</t>
  </si>
  <si>
    <t xml:space="preserve">Project investment - Pescarus reconceptualisation</t>
  </si>
  <si>
    <t xml:space="preserve">Pescarus</t>
  </si>
  <si>
    <t xml:space="preserve">CF-063</t>
  </si>
  <si>
    <t xml:space="preserve">Project investment - Hanu' lui Manuc extension/renovation</t>
  </si>
  <si>
    <t xml:space="preserve">Hanu' lui Manuc</t>
  </si>
  <si>
    <t xml:space="preserve">CF-064</t>
  </si>
  <si>
    <t xml:space="preserve">Founder in Jun 2026: 'around EUR 6M, adjusted to market' (S04).</t>
  </si>
  <si>
    <t xml:space="preserve">CF-065</t>
  </si>
  <si>
    <t xml:space="preserve">Third-party converts to EUR 6.69M; 35/6.5 = 5.38 implied.</t>
  </si>
  <si>
    <t xml:space="preserve">CF-066</t>
  </si>
  <si>
    <t xml:space="preserve">Planned investment - ready-meals factory (Buftea), over two years</t>
  </si>
  <si>
    <t xml:space="preserve">2026-2027</t>
  </si>
  <si>
    <t xml:space="preserve">https://profit.ro/povesti-cu-profit/city-grill-ridica-o-fabrica-investitie-de-7-milioane-de-euro-intr-o-unitate-noua-de-productie-pentru-ready-meals-22425418</t>
  </si>
  <si>
    <t xml:space="preserve">City Grill ridica o fabrica, investitie de 7 milioane de euro (ready meals, Buftea)</t>
  </si>
  <si>
    <t xml:space="preserve">Profit.ro / Economedia</t>
  </si>
  <si>
    <t xml:space="preserve">2026-05 (approx.)</t>
  </si>
  <si>
    <t xml:space="preserve">Announced, partly in 2026 budget; not spent.</t>
  </si>
  <si>
    <t xml:space="preserve">S36</t>
  </si>
  <si>
    <t xml:space="preserve">CF-067</t>
  </si>
  <si>
    <t xml:space="preserve">Project investment - Constanta Casino cafe</t>
  </si>
  <si>
    <t xml:space="preserve">City Grill Cazino</t>
  </si>
  <si>
    <t xml:space="preserve">https://www.profit.ro/povesti-cu-profit/city-grill-cel-mai-mare-lant-de-restaurante-cu-capital-romanesc-are-o-noua-structura-de-conducere-22807773</t>
  </si>
  <si>
    <t xml:space="preserve">City Grill, cel mai mare lant de restaurante cu capital romanesc, are o noua structura de conducere</t>
  </si>
  <si>
    <t xml:space="preserve">2026-10-07</t>
  </si>
  <si>
    <t xml:space="preserve">Profit.ro.</t>
  </si>
  <si>
    <t xml:space="preserve">Conflicts with CF-068.</t>
  </si>
  <si>
    <t xml:space="preserve">S03</t>
  </si>
  <si>
    <t xml:space="preserve">CF-068</t>
  </si>
  <si>
    <t xml:space="preserve">Wall-Street.ro (founder: ~EUR 650k).</t>
  </si>
  <si>
    <t xml:space="preserve">Conflict with CF-067 preserved; unclear whether fit-out vs total.</t>
  </si>
  <si>
    <t xml:space="preserve">CF-069</t>
  </si>
  <si>
    <t xml:space="preserve">Project investment - Hanu' Berarilor Oprea Soare + La Boheme</t>
  </si>
  <si>
    <t xml:space="preserve">completed FY2023</t>
  </si>
  <si>
    <t xml:space="preserve">Part of CF-057.</t>
  </si>
  <si>
    <t xml:space="preserve">CF-070</t>
  </si>
  <si>
    <t xml:space="preserve">Investment in Out4Food loyalty app (cumulative)</t>
  </si>
  <si>
    <t xml:space="preserve">to May 2024</t>
  </si>
  <si>
    <t xml:space="preserve">https://www.puterea.ro/?p=349841</t>
  </si>
  <si>
    <t xml:space="preserve">Managerii Grupului City Grill tintesc extinderea afacerii in Transilvania</t>
  </si>
  <si>
    <t xml:space="preserve">2024-05-28</t>
  </si>
  <si>
    <t xml:space="preserve">S15b</t>
  </si>
  <si>
    <t xml:space="preserve">RM-001</t>
  </si>
  <si>
    <t xml:space="preserve">HoReCa turnover (hotels, restaurants, bars, tourism agencies)</t>
  </si>
  <si>
    <t xml:space="preserve">RON bn</t>
  </si>
  <si>
    <t xml:space="preserve">Romanian HoReCa companies</t>
  </si>
  <si>
    <t xml:space="preserve">Filed accounts (analysis I. Guda for HORA)</t>
  </si>
  <si>
    <t xml:space="preserve">https://www.trendshrb.ro/stiri/hora-cifra-de-afaceri-din-horeca-a-crescut-cu-12-in-2025-profitabilitatea-insa-a-atins-cel-mai-mic-nivel-de-dupa-pandemie/</t>
  </si>
  <si>
    <t xml:space="preserve">HORA: Cifra de afaceri din HoReCa a crescut cu 12% in 2025</t>
  </si>
  <si>
    <t xml:space="preserve">TrendsHR.ro / Forbes.ro / HotNews.ro (same release)</t>
  </si>
  <si>
    <t xml:space="preserve">2026-08 (approx.)</t>
  </si>
  <si>
    <t xml:space="preserve">Exact CAEN list not published in retrieved articles.</t>
  </si>
  <si>
    <t xml:space="preserve">Source is an employer association; derived from MFinante filings.</t>
  </si>
  <si>
    <t xml:space="preserve">S19b</t>
  </si>
  <si>
    <t xml:space="preserve">RM-002</t>
  </si>
  <si>
    <t xml:space="preserve">HoReCa turnover</t>
  </si>
  <si>
    <t xml:space="preserve">Filed accounts (HORA Barometer)</t>
  </si>
  <si>
    <t xml:space="preserve">RM-003</t>
  </si>
  <si>
    <t xml:space="preserve">HoReCa turnover growth as reported</t>
  </si>
  <si>
    <t xml:space="preserve">Filed accounts</t>
  </si>
  <si>
    <t xml:space="preserve">Above economy-wide turnover growth (+8%) and avg CPI (7.3%).</t>
  </si>
  <si>
    <t xml:space="preserve">RM-004</t>
  </si>
  <si>
    <t xml:space="preserve">Restaurants and bars turnover</t>
  </si>
  <si>
    <t xml:space="preserve">Restaurants &amp; bars</t>
  </si>
  <si>
    <t xml:space="preserve">Filed accounts ('about 32B')</t>
  </si>
  <si>
    <t xml:space="preserve">https://startupcafe.ro/romanii-au-lasat-bacsisuri-de-116-miliarde-eur-la-restaurant-in-2025-afacerile-horeca-au-crescut-dar-profitabilitatea-a-scazut-104545</t>
  </si>
  <si>
    <t xml:space="preserve">Romanii au lasat bacsisuri de 1,16 miliarde EUR ... Afacerile HoReCa au crescut, dar profitabilitatea a scazut (HORA Barometrul Ospitalitatii)</t>
  </si>
  <si>
    <t xml:space="preserve">StartupCafe.ro</t>
  </si>
  <si>
    <t xml:space="preserve">54.8% of HoReCa (S20).</t>
  </si>
  <si>
    <t xml:space="preserve">Best-fit benchmark scope for City Grill but excludes hotels, events, manufacturing.</t>
  </si>
  <si>
    <t xml:space="preserve">S19</t>
  </si>
  <si>
    <t xml:space="preserve">RM-005</t>
  </si>
  <si>
    <t xml:space="preserve">Restaurants and bars turnover growth</t>
  </si>
  <si>
    <t xml:space="preserve">'Close to inflation'.</t>
  </si>
  <si>
    <t xml:space="preserve">Nominal.</t>
  </si>
  <si>
    <t xml:space="preserve">RM-006</t>
  </si>
  <si>
    <t xml:space="preserve">HoReCa net profit</t>
  </si>
  <si>
    <t xml:space="preserve">RM-007</t>
  </si>
  <si>
    <t xml:space="preserve">Lowest since pandemic.</t>
  </si>
  <si>
    <t xml:space="preserve">RM-008</t>
  </si>
  <si>
    <t xml:space="preserve">HoReCa net margin as reported</t>
  </si>
  <si>
    <t xml:space="preserve">RM-009</t>
  </si>
  <si>
    <t xml:space="preserve">RM-010</t>
  </si>
  <si>
    <t xml:space="preserve">HoReCa employees (approx.)</t>
  </si>
  <si>
    <t xml:space="preserve">persons</t>
  </si>
  <si>
    <t xml:space="preserve">RM-011</t>
  </si>
  <si>
    <t xml:space="preserve">RM-012</t>
  </si>
  <si>
    <t xml:space="preserve">Restaurants and bars employees (approx.)</t>
  </si>
  <si>
    <t xml:space="preserve">RM-013</t>
  </si>
  <si>
    <t xml:space="preserve">Active restaurant companies (count)</t>
  </si>
  <si>
    <t xml:space="preserve">companies</t>
  </si>
  <si>
    <t xml:space="preserve">Restaurants</t>
  </si>
  <si>
    <t xml:space="preserve">Companies that filed 2025 accounts</t>
  </si>
  <si>
    <t xml:space="preserve">https://businessedge.ro/stiri/fast-food-piata-restaurantelor-cifra-afaceri-18012</t>
  </si>
  <si>
    <t xml:space="preserve">Fast-food-ul domina piata restaurantelor din Romania</t>
  </si>
  <si>
    <t xml:space="preserve">BusinessEdge.ro</t>
  </si>
  <si>
    <t xml:space="preserve">Filed-accounts population, not a unit count.</t>
  </si>
  <si>
    <t xml:space="preserve">S20</t>
  </si>
  <si>
    <t xml:space="preserve">RM-014</t>
  </si>
  <si>
    <t xml:space="preserve">HoReCa units (approx.)</t>
  </si>
  <si>
    <t xml:space="preserve">end-2024</t>
  </si>
  <si>
    <t xml:space="preserve">units</t>
  </si>
  <si>
    <t xml:space="preserve">HoReCa</t>
  </si>
  <si>
    <t xml:space="preserve">IMM Club estimate</t>
  </si>
  <si>
    <t xml:space="preserve">https://cursdeguvernare.ro/horeca-resimte-din-plin-scaderea-consumului-pana-la-25-din-restaurante-ar-putea-da-faliment-in-2026.html</t>
  </si>
  <si>
    <t xml:space="preserve">HoReCa resimte din plin scaderea consumului - 'Pana la 25% din restaurante ar putea da faliment in 2026'</t>
  </si>
  <si>
    <t xml:space="preserve">Curs de Guvernare (IMM Club release)</t>
  </si>
  <si>
    <t xml:space="preserve">Estimated &gt;=10% decline since.</t>
  </si>
  <si>
    <t xml:space="preserve">Definition unclear.</t>
  </si>
  <si>
    <t xml:space="preserve">S21</t>
  </si>
  <si>
    <t xml:space="preserve">RM-015</t>
  </si>
  <si>
    <t xml:space="preserve">HoReCa market size (IMM Club)</t>
  </si>
  <si>
    <t xml:space="preserve">EUR bn</t>
  </si>
  <si>
    <t xml:space="preserve">Definition not stated</t>
  </si>
  <si>
    <t xml:space="preserve">Conflicts with HORA (RON 52.17B ~ EUR 10.5B): scope differs; do not use for share maths.</t>
  </si>
  <si>
    <t xml:space="preserve">RM-016</t>
  </si>
  <si>
    <t xml:space="preserve">See RM-015.</t>
  </si>
  <si>
    <t xml:space="preserve">RM-017</t>
  </si>
  <si>
    <t xml:space="preserve">Delivery share of urban HoReCa</t>
  </si>
  <si>
    <t xml:space="preserve">Urban HoReCa</t>
  </si>
  <si>
    <t xml:space="preserve">IMM Club</t>
  </si>
  <si>
    <t xml:space="preserve">vs 26% sit-down restaurants.</t>
  </si>
  <si>
    <t xml:space="preserve">RM-020</t>
  </si>
  <si>
    <t xml:space="preserve">INS volume of turnover - hotels and restaurants (gross series)</t>
  </si>
  <si>
    <t xml:space="preserve">% yoy</t>
  </si>
  <si>
    <t xml:space="preserve">constant prices</t>
  </si>
  <si>
    <t xml:space="preserve">Hotels &amp; restaurants (services to population)</t>
  </si>
  <si>
    <t xml:space="preserve">Official, B2C services only</t>
  </si>
  <si>
    <t xml:space="preserve">https://cursdeguvernare.ro/tendinta-de-economisire-se-vede-in-scaderea-de-la-servicii-prestate-populatiei-mai-putin-turism-in-romania-mai-putini-bani-la-coafor.html</t>
  </si>
  <si>
    <t xml:space="preserve">Tendinta de economisire se vede in scaderea de la servicii prestate populatiei (INS 2024)</t>
  </si>
  <si>
    <t xml:space="preserve">Curs de Guvernare (INS data)</t>
  </si>
  <si>
    <t xml:space="preserve">2025-02-21</t>
  </si>
  <si>
    <t xml:space="preserve">INS monthly releases (cif_afXXrYY.pdf).</t>
  </si>
  <si>
    <t xml:space="preserve">Real (deflated) volume, not nominal.</t>
  </si>
  <si>
    <t xml:space="preserve">S22a</t>
  </si>
  <si>
    <t xml:space="preserve">RM-021</t>
  </si>
  <si>
    <t xml:space="preserve">INS volume index - hotels and restaurants</t>
  </si>
  <si>
    <t xml:space="preserve">index (prev. yr=100)</t>
  </si>
  <si>
    <t xml:space="preserve">Hotels &amp; restaurants</t>
  </si>
  <si>
    <t xml:space="preserve">Official</t>
  </si>
  <si>
    <t xml:space="preserve">https://www.bzi.ro/serviciile-prestate-populatiei-pe-minus-in-2025-semnal-de-alarma-pentru-economie-si-consum-5481639</t>
  </si>
  <si>
    <t xml:space="preserve">Serviciile prestate populatiei, pe minus in 2025 (INS)</t>
  </si>
  <si>
    <t xml:space="preserve">BZI.ro (INS data)</t>
  </si>
  <si>
    <t xml:space="preserve">2026-02 (approx.)</t>
  </si>
  <si>
    <t xml:space="preserve">-1.9% real.</t>
  </si>
  <si>
    <t xml:space="preserve">S22b</t>
  </si>
  <si>
    <t xml:space="preserve">RM-022</t>
  </si>
  <si>
    <t xml:space="preserve">INS volume of turnover - hotels and restaurants</t>
  </si>
  <si>
    <t xml:space="preserve">https://www.forbes.ro/?p=517819</t>
  </si>
  <si>
    <t xml:space="preserve">INS: serviciile prestate populatiei au scazut cu 9,1% in primul semestru 2026 (HoReCa -12%)</t>
  </si>
  <si>
    <t xml:space="preserve">Forbes.ro / Economedia (INS data)</t>
  </si>
  <si>
    <t xml:space="preserve">Real volume; gross series.</t>
  </si>
  <si>
    <t xml:space="preserve">S22c</t>
  </si>
  <si>
    <t xml:space="preserve">RM-023</t>
  </si>
  <si>
    <t xml:space="preserve">Q1 2026</t>
  </si>
  <si>
    <t xml:space="preserve">Financial Intelligence relay of INS.</t>
  </si>
  <si>
    <t xml:space="preserve">RM-024</t>
  </si>
  <si>
    <t xml:space="preserve">Jun 2026</t>
  </si>
  <si>
    <t xml:space="preserve">RM-025</t>
  </si>
  <si>
    <t xml:space="preserve">Jan 2026</t>
  </si>
  <si>
    <t xml:space="preserve">Single month.</t>
  </si>
  <si>
    <t xml:space="preserve">RM-030</t>
  </si>
  <si>
    <t xml:space="preserve">Net turnover, food &amp; beverage service (NACE I56), Eurostat SBS</t>
  </si>
  <si>
    <t xml:space="preserve">NACE I56</t>
  </si>
  <si>
    <t xml:space="preserve">Official (via Statista mirror)</t>
  </si>
  <si>
    <t xml:space="preserve">https://www.statista.com/statistics/410694/production-value-food-beverage-service-romania/</t>
  </si>
  <si>
    <t xml:space="preserve">Net turnover / production value of the food and beverage service industry, Romania (Eurostat SBS, NACE I56)</t>
  </si>
  <si>
    <t xml:space="preserve">Statista (mirror of Eurostat)</t>
  </si>
  <si>
    <t xml:space="preserve">2025-05-13 (Eurostat release)</t>
  </si>
  <si>
    <t xml:space="preserve">Eurostat dataset not reachable directly; mirror used.</t>
  </si>
  <si>
    <t xml:space="preserve">S32</t>
  </si>
  <si>
    <t xml:space="preserve">RM-031</t>
  </si>
  <si>
    <t xml:space="preserve">Production value, NACE I56</t>
  </si>
  <si>
    <t xml:space="preserve">Eurostat SBS via Statista</t>
  </si>
  <si>
    <t xml:space="preserve">Production value, not turnover.</t>
  </si>
  <si>
    <t xml:space="preserve">RM-032</t>
  </si>
  <si>
    <t xml:space="preserve">RM-033</t>
  </si>
  <si>
    <t xml:space="preserve">FY2024+ not yet retrieved.</t>
  </si>
  <si>
    <t xml:space="preserve">RM-034</t>
  </si>
  <si>
    <t xml:space="preserve">Restaurant-domain turnover (Bookingham/MFinante)</t>
  </si>
  <si>
    <t xml:space="preserve">Restaurants (undefined)</t>
  </si>
  <si>
    <t xml:space="preserve">https://economedia.ro/topul-celor-mai-mari-restaurante-din-romania-e-dominat-de-fast-food-lideri-de-piata-incontestabili-dupa-afaceri-sunt-operatorii-lanturilor-mcdonalds-si-kfc.html</t>
  </si>
  <si>
    <t xml:space="preserve">Topul celor mai mari restaurante din Romania e dominat de fast-food</t>
  </si>
  <si>
    <t xml:space="preserve">Economedia / G4Food (Bookingham analysis of MFinante filings)</t>
  </si>
  <si>
    <t xml:space="preserve">2024-06 (approx.)</t>
  </si>
  <si>
    <t xml:space="preserve">Scope incompatible with HORA series; do not chain.</t>
  </si>
  <si>
    <t xml:space="preserve">S33</t>
  </si>
  <si>
    <t xml:space="preserve">RM-035</t>
  </si>
  <si>
    <t xml:space="preserve">RM-036</t>
  </si>
  <si>
    <t xml:space="preserve">Implies +42% to 2024 if chained with HORA - impossible; flags scope mismatch.</t>
  </si>
  <si>
    <t xml:space="preserve">RM-037</t>
  </si>
  <si>
    <t xml:space="preserve">Restaurant-domain net profit (Bookingham/MFinante)</t>
  </si>
  <si>
    <t xml:space="preserve">vs 3.19B (2022), ~2.6B (2021).</t>
  </si>
  <si>
    <t xml:space="preserve">RM-040</t>
  </si>
  <si>
    <t xml:space="preserve">Customer traffic change, industry estimate</t>
  </si>
  <si>
    <t xml:space="preserve">Industry estimate</t>
  </si>
  <si>
    <t xml:space="preserve">https://www.horecainsight.ro/barometrul-ospitalitatii-cifra-de-afaceri-in-crestere-si-profitabilitatea-la-cel-mai-redus-nivel-dupa-2020/</t>
  </si>
  <si>
    <t xml:space="preserve">Barometrul Ospitalitatii: Cifra de afaceri in crestere si profitabilitatea la cel mai redus nivel dupa 2020</t>
  </si>
  <si>
    <t xml:space="preserve">Horeca Insight</t>
  </si>
  <si>
    <t xml:space="preserve">Not an official statistic.</t>
  </si>
  <si>
    <t xml:space="preserve">S26</t>
  </si>
  <si>
    <t xml:space="preserve">RM-041</t>
  </si>
  <si>
    <t xml:space="preserve">Founder statement: HoReCa decline last year</t>
  </si>
  <si>
    <t xml:space="preserve">-15 to -20</t>
  </si>
  <si>
    <t xml:space="preserve">Opinion</t>
  </si>
  <si>
    <t xml:space="preserve">Contradicted by HORA nominal +7% and INS real -1.9%.</t>
  </si>
  <si>
    <t xml:space="preserve">RM-042</t>
  </si>
  <si>
    <t xml:space="preserve">Founder statement: HoReCa decline this year</t>
  </si>
  <si>
    <t xml:space="preserve">FY2026 YTD</t>
  </si>
  <si>
    <t xml:space="preserve">-10 to -15</t>
  </si>
  <si>
    <t xml:space="preserve">Consistent with INS H1 2026 real -12%.</t>
  </si>
  <si>
    <t xml:space="preserve">RM-043</t>
  </si>
  <si>
    <t xml:space="preserve">Operators' traffic decline after Aug-2025 fiscal measures</t>
  </si>
  <si>
    <t xml:space="preserve">Aug-Dec 2025</t>
  </si>
  <si>
    <t xml:space="preserve">-5 to -15</t>
  </si>
  <si>
    <t xml:space="preserve">HORA statement</t>
  </si>
  <si>
    <t xml:space="preserve">https://economedia.ro/?p=315040</t>
  </si>
  <si>
    <t xml:space="preserve">Operatorii din HoReCa: scaderea traficului dupa masurile fiscale (HORA)</t>
  </si>
  <si>
    <t xml:space="preserve">Economedia</t>
  </si>
  <si>
    <t xml:space="preserve">2025-12 (approx.)</t>
  </si>
  <si>
    <t xml:space="preserve">S48</t>
  </si>
  <si>
    <t xml:space="preserve">RM-044</t>
  </si>
  <si>
    <t xml:space="preserve">Meal-voucher card payments in restaurants (Edenred)</t>
  </si>
  <si>
    <t xml:space="preserve">Edenred card base</t>
  </si>
  <si>
    <t xml:space="preserve">Payment-volume proxy; nominal.</t>
  </si>
  <si>
    <t xml:space="preserve">RM-050</t>
  </si>
  <si>
    <t xml:space="preserve">Classification: CAEN Rev.2 5610 - Restaurants</t>
  </si>
  <si>
    <t xml:space="preserve">5610</t>
  </si>
  <si>
    <t xml:space="preserve">code</t>
  </si>
  <si>
    <t xml:space="preserve">INS / Eurostat NACE 56.10</t>
  </si>
  <si>
    <t xml:space="preserve">Restaurants and mobile food service (sit-down, fast-food, take-away, street vendors)</t>
  </si>
  <si>
    <t xml:space="preserve">Calculated</t>
  </si>
  <si>
    <t xml:space="preserve">https://ec.europa.eu/eurostat/web/nace</t>
  </si>
  <si>
    <t xml:space="preserve">NACE Rev.2 / CAEN Rev.2 classification (divisions 55, 56)</t>
  </si>
  <si>
    <t xml:space="preserve">Eurostat RAMON / INS</t>
  </si>
  <si>
    <t xml:space="preserve">Covers City Grill's core restaurant activity. Does not cover cafes/bars (5630), hotel La Boheme (5510), events (5621) or ready-meals manufacturing.</t>
  </si>
  <si>
    <t xml:space="preserve">A</t>
  </si>
  <si>
    <t xml:space="preserve">Core benchmark scope only; HORA 'restaurants &amp; bars' is CAEN 5610+5630.</t>
  </si>
  <si>
    <t xml:space="preserve">S46</t>
  </si>
  <si>
    <t xml:space="preserve">RM-051</t>
  </si>
  <si>
    <t xml:space="preserve">Classification: CAEN Rev.2 5630 - Beverage serving (bars, cafes)</t>
  </si>
  <si>
    <t xml:space="preserve">5630</t>
  </si>
  <si>
    <t xml:space="preserve">INS / Eurostat NACE 56.30</t>
  </si>
  <si>
    <t xml:space="preserve">Bars, pubs, coffee shops</t>
  </si>
  <si>
    <t xml:space="preserve">Relevant to City Cafe/Gloria Jean's/Buongiorno cafes.</t>
  </si>
  <si>
    <t xml:space="preserve">RM-052</t>
  </si>
  <si>
    <t xml:space="preserve">Classification: NACE I56 (Eurostat food &amp; beverage service)</t>
  </si>
  <si>
    <t xml:space="preserve">I56</t>
  </si>
  <si>
    <t xml:space="preserve">Eurostat</t>
  </si>
  <si>
    <t xml:space="preserve">Division 56</t>
  </si>
  <si>
    <t xml:space="preserve">Eurostat SBS definition used for RM-030..033.</t>
  </si>
  <si>
    <t xml:space="preserve">RM-060</t>
  </si>
  <si>
    <t xml:space="preserve">VAT on food and HoReCa services</t>
  </si>
  <si>
    <t xml:space="preserve">from 2025-08-01</t>
  </si>
  <si>
    <t xml:space="preserve">% (was 9%)</t>
  </si>
  <si>
    <t xml:space="preserve">Policy</t>
  </si>
  <si>
    <t xml:space="preserve">Statutory</t>
  </si>
  <si>
    <t xml:space="preserve">https://rhn.ro/en/horeca-industry-will-have-a-vat-rate-of-11-from-august-1/</t>
  </si>
  <si>
    <t xml:space="preserve">HoReCa industry will have a VAT rate of 11% from August 1</t>
  </si>
  <si>
    <t xml:space="preserve">Romania HoReCa News / StartupCafe / Economedia</t>
  </si>
  <si>
    <t xml:space="preserve">2025-07 (approx.)</t>
  </si>
  <si>
    <t xml:space="preserve">Standard rate 19% -&gt; 21% the same day.</t>
  </si>
  <si>
    <t xml:space="preserve">Cost/price shock; HORA estimated +1.8% consumer prices.</t>
  </si>
  <si>
    <t xml:space="preserve">S34</t>
  </si>
  <si>
    <t xml:space="preserve">MA-001</t>
  </si>
  <si>
    <t xml:space="preserve">CPI inflation, annual average</t>
  </si>
  <si>
    <t xml:space="preserve">INS / World Bank</t>
  </si>
  <si>
    <t xml:space="preserve">https://fred.stlouisfed.org/data/FPCPITOTLZGROU</t>
  </si>
  <si>
    <t xml:space="preserve">Inflation, consumer prices for Romania (World Bank WDI via FRED)</t>
  </si>
  <si>
    <t xml:space="preserve">FRED / World Bank</t>
  </si>
  <si>
    <t xml:space="preserve">2025-07-02</t>
  </si>
  <si>
    <t xml:space="preserve">S27</t>
  </si>
  <si>
    <t xml:space="preserve">MA-002</t>
  </si>
  <si>
    <t xml:space="preserve">MA-003</t>
  </si>
  <si>
    <t xml:space="preserve">MA-004</t>
  </si>
  <si>
    <t xml:space="preserve">MA-005</t>
  </si>
  <si>
    <t xml:space="preserve">MA-006</t>
  </si>
  <si>
    <t xml:space="preserve">https://financialintelligence.ro/rata-anuala-a-inflatiei-a-fost-de-97-in-luna-decembrie-2025-comparativ-cu-luna-decembrie-2024-ins/</t>
  </si>
  <si>
    <t xml:space="preserve">INS: Rata anuala a inflatiei in luna decembrie 2025 a fost 9,7%</t>
  </si>
  <si>
    <t xml:space="preserve">Financial Intelligence / Bursa.ro / Agerpres (INS)</t>
  </si>
  <si>
    <t xml:space="preserve">2026-01-14</t>
  </si>
  <si>
    <t xml:space="preserve">S23</t>
  </si>
  <si>
    <t xml:space="preserve">MA-007</t>
  </si>
  <si>
    <t xml:space="preserve">MA-008</t>
  </si>
  <si>
    <t xml:space="preserve">CPI inflation, annual (Dec/Dec)</t>
  </si>
  <si>
    <t xml:space="preserve">Dec 2025</t>
  </si>
  <si>
    <t xml:space="preserve">INS</t>
  </si>
  <si>
    <t xml:space="preserve">MA-009</t>
  </si>
  <si>
    <t xml:space="preserve">CPI inflation, annual</t>
  </si>
  <si>
    <t xml:space="preserve">Mar 2026</t>
  </si>
  <si>
    <t xml:space="preserve">https://startupcafe.ro/scumpiri-in-romania-rata-anuala-a-inflatiei-de-99-alimentata-de-combustibili-97816</t>
  </si>
  <si>
    <t xml:space="preserve">Scumpiri in Romania: Rata anuala a inflatiei de 9,9% in martie 2026</t>
  </si>
  <si>
    <t xml:space="preserve">StartupCafe.ro (INS)</t>
  </si>
  <si>
    <t xml:space="preserve">2026-04 (approx.)</t>
  </si>
  <si>
    <t xml:space="preserve">S24</t>
  </si>
  <si>
    <t xml:space="preserve">MA-010</t>
  </si>
  <si>
    <t xml:space="preserve">Jul 2026</t>
  </si>
  <si>
    <t xml:space="preserve">https://www.bugetul.ro/cat-a-ajuns-acum-in-septembrie-2026-rata-inflatiei-greu-de-crezut-cat-de-mult-a-putut-sa-scada/</t>
  </si>
  <si>
    <t xml:space="preserve">Cat a ajuns acum, in septembrie 2026, rata inflatiei</t>
  </si>
  <si>
    <t xml:space="preserve">Bugetul.ro</t>
  </si>
  <si>
    <t xml:space="preserve">2026-09 (approx.)</t>
  </si>
  <si>
    <t xml:space="preserve">Secondary relay.</t>
  </si>
  <si>
    <t xml:space="preserve">S25</t>
  </si>
  <si>
    <t xml:space="preserve">MA-011</t>
  </si>
  <si>
    <t xml:space="preserve">CPI inflation, average of last 12 months</t>
  </si>
  <si>
    <t xml:space="preserve">to Mar 2026</t>
  </si>
  <si>
    <t xml:space="preserve">MA-012</t>
  </si>
  <si>
    <t xml:space="preserve">Sep 2026</t>
  </si>
  <si>
    <t xml:space="preserve">Not stated in retrieved text.</t>
  </si>
  <si>
    <t xml:space="preserve">Missing, not zero.</t>
  </si>
  <si>
    <t xml:space="preserve">MA-013</t>
  </si>
  <si>
    <t xml:space="preserve">CPI food goods, annual</t>
  </si>
  <si>
    <t xml:space="preserve">MA-014</t>
  </si>
  <si>
    <t xml:space="preserve">CPI services, annual</t>
  </si>
  <si>
    <t xml:space="preserve">MA-015</t>
  </si>
  <si>
    <t xml:space="preserve">CPI restaurants, cafes, canteens, annual</t>
  </si>
  <si>
    <t xml:space="preserve">Sep 2024</t>
  </si>
  <si>
    <t xml:space="preserve">https://www.zf.ro/zf-24/cresterea-preturilor-continua-ritm-scazut-rata-anuala-inflatiei-22512060</t>
  </si>
  <si>
    <t xml:space="preserve">Cresterea preturilor continua, dar in ritm mai scazut: inflatia 4,6% in septembrie 2024 (restaurante +10%)</t>
  </si>
  <si>
    <t xml:space="preserve">Ziarul Financiar (INS)</t>
  </si>
  <si>
    <t xml:space="preserve">2024-10 (approx.)</t>
  </si>
  <si>
    <t xml:space="preserve">Approximate (ZF relay of INS Sep-2024 release).</t>
  </si>
  <si>
    <t xml:space="preserve">S51</t>
  </si>
  <si>
    <t xml:space="preserve">MA-016</t>
  </si>
  <si>
    <t xml:space="preserve">MA-017</t>
  </si>
  <si>
    <t xml:space="preserve">CPI restaurants, cafes, canteens, annual (approx.)</t>
  </si>
  <si>
    <t xml:space="preserve">Official ('over 11%')</t>
  </si>
  <si>
    <t xml:space="preserve">Lower bound.</t>
  </si>
  <si>
    <t xml:space="preserve">MA-020</t>
  </si>
  <si>
    <t xml:space="preserve">EUR/RON, BNR annual average</t>
  </si>
  <si>
    <t xml:space="preserve">RON per EUR</t>
  </si>
  <si>
    <t xml:space="preserve">BNR</t>
  </si>
  <si>
    <t xml:space="preserve">https://financiarul.ro/economie/bnr-calculeaza-cursul-mediu-anual-al-euro-la-5-0415-lei-pentru-2025/</t>
  </si>
  <si>
    <t xml:space="preserve">BNR average annual EUR/RON: 2025 5.0415, 2024 4.9746</t>
  </si>
  <si>
    <t xml:space="preserve">Financiarul.ro (BNR data)</t>
  </si>
  <si>
    <t xml:space="preserve">2026 (approx.)</t>
  </si>
  <si>
    <t xml:space="preserve">S30</t>
  </si>
  <si>
    <t xml:space="preserve">MA-021</t>
  </si>
  <si>
    <t xml:space="preserve">MA-022</t>
  </si>
  <si>
    <t xml:space="preserve">MA-023</t>
  </si>
  <si>
    <t xml:space="preserve">MA-024</t>
  </si>
  <si>
    <t xml:space="preserve">MA-025</t>
  </si>
  <si>
    <t xml:space="preserve">MA-026</t>
  </si>
  <si>
    <t xml:space="preserve">MA-028</t>
  </si>
  <si>
    <t xml:space="preserve">EUR/RON, BNR spot</t>
  </si>
  <si>
    <t xml:space="preserve">2026-10 (snapshot)</t>
  </si>
  <si>
    <t xml:space="preserve">Profit.ro BNR ticker at page load, 2026-10-13.</t>
  </si>
  <si>
    <t xml:space="preserve">Spot, not average.</t>
  </si>
  <si>
    <t xml:space="preserve">MA-029</t>
  </si>
  <si>
    <t xml:space="preserve">EUR/RON, 2026 YTD average</t>
  </si>
  <si>
    <t xml:space="preserve">2026 YTD</t>
  </si>
  <si>
    <t xml:space="preserve">Not retrieved.</t>
  </si>
  <si>
    <t xml:space="preserve">MA-030</t>
  </si>
  <si>
    <t xml:space="preserve">Average gross monthly wage, economy</t>
  </si>
  <si>
    <t xml:space="preserve">https://www.stiripesurse.ro/salariile-au-crescut-la-final-de-2025-castigul-mediu-net-a-ajuns-la-5914-lei-in-decembrie_3858343</t>
  </si>
  <si>
    <t xml:space="preserve">INS wage statistics 2025 (hotels &amp; restaurants lowest-paid)</t>
  </si>
  <si>
    <t xml:space="preserve">StiriPeSurse / Economedia / Revista Biz / Actual de Cluj (INS)</t>
  </si>
  <si>
    <t xml:space="preserve">2026-01/02 (approx.)</t>
  </si>
  <si>
    <t xml:space="preserve">+8.1% yoy.</t>
  </si>
  <si>
    <t xml:space="preserve">S31</t>
  </si>
  <si>
    <t xml:space="preserve">MA-031</t>
  </si>
  <si>
    <t xml:space="preserve">Average net monthly wage, economy</t>
  </si>
  <si>
    <t xml:space="preserve">+6.2% yoy; real wage index 99.0.</t>
  </si>
  <si>
    <t xml:space="preserve">MA-032</t>
  </si>
  <si>
    <t xml:space="preserve">Average net monthly wage, hotels &amp; restaurants</t>
  </si>
  <si>
    <t xml:space="preserve">Lowest-paid sector.</t>
  </si>
  <si>
    <t xml:space="preserve">Single month (includes year-end bonuses?).</t>
  </si>
  <si>
    <t xml:space="preserve">MA-033</t>
  </si>
  <si>
    <t xml:space="preserve">Nov 2025</t>
  </si>
  <si>
    <t xml:space="preserve">Economedia: 'Tur de standuri' / INS Nov 2025 net wages (hotels &amp; restaurants 3,403 lei)</t>
  </si>
  <si>
    <t xml:space="preserve">S47</t>
  </si>
  <si>
    <t xml:space="preserve">MA-034</t>
  </si>
  <si>
    <t xml:space="preserve">Nov 2023</t>
  </si>
  <si>
    <t xml:space="preserve">MA-035</t>
  </si>
  <si>
    <t xml:space="preserve">Nov 2022</t>
  </si>
  <si>
    <t xml:space="preserve">MA-036</t>
  </si>
  <si>
    <t xml:space="preserve">May 2019</t>
  </si>
  <si>
    <t xml:space="preserve">Via Profit.ro/FIHR.</t>
  </si>
  <si>
    <t xml:space="preserve">MA-037</t>
  </si>
  <si>
    <t xml:space="preserve">MA-040</t>
  </si>
  <si>
    <t xml:space="preserve">Tourist arrivals, accommodation structures</t>
  </si>
  <si>
    <t xml:space="preserve">million</t>
  </si>
  <si>
    <t xml:space="preserve">https://agerpres.ro/economic/2025/02/05/ins-sosirile-in-structurile-de-primire-turistica-in-crestere-cu-4-5-in-2024--1419748</t>
  </si>
  <si>
    <t xml:space="preserve">INS: Sosirile in structurile de primire turistica, in crestere cu 4,5% in 2024</t>
  </si>
  <si>
    <t xml:space="preserve">Agerpres (INS)</t>
  </si>
  <si>
    <t xml:space="preserve">2025-02-05</t>
  </si>
  <si>
    <t xml:space="preserve">+4.5% yoy.</t>
  </si>
  <si>
    <t xml:space="preserve">S28</t>
  </si>
  <si>
    <t xml:space="preserve">MA-041</t>
  </si>
  <si>
    <t xml:space="preserve">Tourist overnights</t>
  </si>
  <si>
    <t xml:space="preserve">+3.5% yoy.</t>
  </si>
  <si>
    <t xml:space="preserve">MA-042</t>
  </si>
  <si>
    <t xml:space="preserve">Tourist arrivals</t>
  </si>
  <si>
    <t xml:space="preserve">Official (rounded)</t>
  </si>
  <si>
    <t xml:space="preserve">https://economedia.ro/?p=318304</t>
  </si>
  <si>
    <t xml:space="preserve">Sosirile inregistrate in structurile de cazare din Romania au scazut in 2025</t>
  </si>
  <si>
    <t xml:space="preserve">Economedia (Agerpres/INS)</t>
  </si>
  <si>
    <t xml:space="preserve">-2.4% yoy.</t>
  </si>
  <si>
    <t xml:space="preserve">Rounded to 0.1M.</t>
  </si>
  <si>
    <t xml:space="preserve">S29</t>
  </si>
  <si>
    <t xml:space="preserve">MA-043</t>
  </si>
  <si>
    <t xml:space="preserve">Tourist arrivals growth as reported</t>
  </si>
  <si>
    <t xml:space="preserve">MA-044</t>
  </si>
  <si>
    <t xml:space="preserve">'over 29.6M'.</t>
  </si>
  <si>
    <t xml:space="preserve">MA-045</t>
  </si>
  <si>
    <t xml:space="preserve">Tourist overnights growth as reported</t>
  </si>
  <si>
    <t xml:space="preserve">MA-046</t>
  </si>
  <si>
    <t xml:space="preserve">Net occupancy of tourist accommodation</t>
  </si>
  <si>
    <t xml:space="preserve">MA-047</t>
  </si>
  <si>
    <t xml:space="preserve">MA-048</t>
  </si>
  <si>
    <t xml:space="preserve">https://www.revistabiz.ro/romania-a-depasit-in-premiera-pragul-de-14-milioane-de-sosiri-in-unitati-de-cazare-turistice/</t>
  </si>
  <si>
    <t xml:space="preserve">Romania a depasit in premiera pragul de 14 milioane de sosiri</t>
  </si>
  <si>
    <t xml:space="preserve">2020-2023 annual series not retrieved.</t>
  </si>
  <si>
    <t xml:space="preserve">S28b</t>
  </si>
  <si>
    <t xml:space="preserve">MA-049</t>
  </si>
  <si>
    <t xml:space="preserve">Tourist arrivals, 2024 vs 2019</t>
  </si>
  <si>
    <t xml:space="preserve">Implies ~13.24M arrivals in 2019.</t>
  </si>
  <si>
    <t xml:space="preserve">MA-050</t>
  </si>
  <si>
    <t xml:space="preserve">Foreign tourists in accommodation</t>
  </si>
  <si>
    <t xml:space="preserve">+10.6% yoy; below 2018 (2.785M).</t>
  </si>
  <si>
    <t xml:space="preserve">MA-051</t>
  </si>
  <si>
    <t xml:space="preserve">Tourist arrivals - Bucharest municipality</t>
  </si>
  <si>
    <t xml:space="preserve">Bucharest</t>
  </si>
  <si>
    <t xml:space="preserve">MA-052</t>
  </si>
  <si>
    <t xml:space="preserve">Tourist overnights - Bucharest municipality</t>
  </si>
  <si>
    <t xml:space="preserve">MA-060</t>
  </si>
  <si>
    <t xml:space="preserve">Volume of turnover, market services to population</t>
  </si>
  <si>
    <t xml:space="preserve">MA-061</t>
  </si>
  <si>
    <t xml:space="preserve">MA-062</t>
  </si>
  <si>
    <t xml:space="preserve">MA-063</t>
  </si>
  <si>
    <t xml:space="preserve">Retail trade volume</t>
  </si>
  <si>
    <t xml:space="preserve">https://hotnews.ro/ins-confirma-romania-incepe-sa-straga-cureaua-vanzarile-de-alimente-au-scazut-in-2025-iar-comerciantii-sunt-ingrijorati-de-scaderea-vanzarilor-si-a-clientilor-2165145</t>
  </si>
  <si>
    <t xml:space="preserve">INS retail trade 2025 (+0.2%; food/beverage/tobacco -2.7%)</t>
  </si>
  <si>
    <t xml:space="preserve">HotNews.ro (INS)</t>
  </si>
  <si>
    <t xml:space="preserve">Proxy for private consumption.</t>
  </si>
  <si>
    <t xml:space="preserve">S49</t>
  </si>
  <si>
    <t xml:space="preserve">MA-064</t>
  </si>
  <si>
    <t xml:space="preserve">Retail trade volume, food/beverages/tobacco</t>
  </si>
  <si>
    <t xml:space="preserve">MA-065</t>
  </si>
  <si>
    <t xml:space="preserve">Household final consumption / disposable income</t>
  </si>
  <si>
    <t xml:space="preserve">INS / Eurostat</t>
  </si>
  <si>
    <t xml:space="preserve">Not retrieved in this session; retail and services volumes used as proxies.</t>
  </si>
  <si>
    <t xml:space="preserve">MA-066</t>
  </si>
  <si>
    <t xml:space="preserve">Real net wage index</t>
  </si>
  <si>
    <t xml:space="preserve">OI-001</t>
  </si>
  <si>
    <t xml:space="preserve">Restaurants and cafes operated</t>
  </si>
  <si>
    <t xml:space="preserve">count</t>
  </si>
  <si>
    <t xml:space="preserve">Restaurants &amp; cafes</t>
  </si>
  <si>
    <t xml:space="preserve">Excludes managed/third-party counts if any.</t>
  </si>
  <si>
    <t xml:space="preserve">OI-002</t>
  </si>
  <si>
    <t xml:space="preserve">Brands</t>
  </si>
  <si>
    <t xml:space="preserve">OI-003</t>
  </si>
  <si>
    <t xml:space="preserve">Employees (permanent)</t>
  </si>
  <si>
    <t xml:space="preserve">2019</t>
  </si>
  <si>
    <t xml:space="preserve">Rises above 1,500 in summer (terraces).</t>
  </si>
  <si>
    <t xml:space="preserve">Definition = permanent staff.</t>
  </si>
  <si>
    <t xml:space="preserve">OI-004</t>
  </si>
  <si>
    <t xml:space="preserve">Employees at summer peak</t>
  </si>
  <si>
    <t xml:space="preserve">Summer 2019</t>
  </si>
  <si>
    <t xml:space="preserve">Stated 'over 1,500'.</t>
  </si>
  <si>
    <t xml:space="preserve">OI-005</t>
  </si>
  <si>
    <t xml:space="preserve">Customers served (annual target)</t>
  </si>
  <si>
    <t xml:space="preserve">'5 million customers' expected in 2019.</t>
  </si>
  <si>
    <t xml:space="preserve">Target/estimate.</t>
  </si>
  <si>
    <t xml:space="preserve">OI-006</t>
  </si>
  <si>
    <t xml:space="preserve">Share of turnover from Out4Food loyalty customers</t>
  </si>
  <si>
    <t xml:space="preserve">Customers return ~2.5x/month.</t>
  </si>
  <si>
    <t xml:space="preserve">Definition (customers enrolled) differs from 2025 metric (sales through platform).</t>
  </si>
  <si>
    <t xml:space="preserve">OI-007</t>
  </si>
  <si>
    <t xml:space="preserve">Loyalty customer visit frequency</t>
  </si>
  <si>
    <t xml:space="preserve">visits/month</t>
  </si>
  <si>
    <t xml:space="preserve">Out4Food members</t>
  </si>
  <si>
    <t xml:space="preserve">OI-008</t>
  </si>
  <si>
    <t xml:space="preserve">Average bill growth</t>
  </si>
  <si>
    <t xml:space="preserve">OI-009</t>
  </si>
  <si>
    <t xml:space="preserve">Restaurants operated (approx.)</t>
  </si>
  <si>
    <t xml:space="preserve">c. 2022-2023</t>
  </si>
  <si>
    <t xml:space="preserve">Group, approx.</t>
  </si>
  <si>
    <t xml:space="preserve">'circa 20 de restaurante'.</t>
  </si>
  <si>
    <t xml:space="preserve">Interview rounding.</t>
  </si>
  <si>
    <t xml:space="preserve">OI-010</t>
  </si>
  <si>
    <t xml:space="preserve">Employees (approx.)</t>
  </si>
  <si>
    <t xml:space="preserve">'200 fewer than 2019' (central kitchen, technology).</t>
  </si>
  <si>
    <t xml:space="preserve">Reference year ambiguous.</t>
  </si>
  <si>
    <t xml:space="preserve">OI-011</t>
  </si>
  <si>
    <t xml:space="preserve">Customers per day</t>
  </si>
  <si>
    <t xml:space="preserve">persons/day</t>
  </si>
  <si>
    <t xml:space="preserve">'over 15,000'.</t>
  </si>
  <si>
    <t xml:space="preserve">Rounded lower bound.</t>
  </si>
  <si>
    <t xml:space="preserve">OI-012</t>
  </si>
  <si>
    <t xml:space="preserve">Average bill, group</t>
  </si>
  <si>
    <t xml:space="preserve">Basis (VAT-incl., per table/per person) not stated.</t>
  </si>
  <si>
    <t xml:space="preserve">OI-013</t>
  </si>
  <si>
    <t xml:space="preserve">Average bill - Hanu' lui Manuc</t>
  </si>
  <si>
    <t xml:space="preserve">Brand</t>
  </si>
  <si>
    <t xml:space="preserve">OI-014</t>
  </si>
  <si>
    <t xml:space="preserve">Average bill - Caru' cu Bere</t>
  </si>
  <si>
    <t xml:space="preserve">Caru' cu Bere</t>
  </si>
  <si>
    <t xml:space="preserve">OI-015</t>
  </si>
  <si>
    <t xml:space="preserve">Average bill - Pescarus</t>
  </si>
  <si>
    <t xml:space="preserve">OI-016</t>
  </si>
  <si>
    <t xml:space="preserve">Growth in customers aged under 25</t>
  </si>
  <si>
    <t xml:space="preserve">'almost 40%'.</t>
  </si>
  <si>
    <t xml:space="preserve">OI-017</t>
  </si>
  <si>
    <t xml:space="preserve">Restaurants operated</t>
  </si>
  <si>
    <t xml:space="preserve">May 2024</t>
  </si>
  <si>
    <t xml:space="preserve">Restaurants (10 brands)</t>
  </si>
  <si>
    <t xml:space="preserve">Airport units (OI-021) reported separately by ZF.</t>
  </si>
  <si>
    <t xml:space="preserve">OI-018</t>
  </si>
  <si>
    <t xml:space="preserve">Group (8 proprietary per Forbes)</t>
  </si>
  <si>
    <t xml:space="preserve">OI-019</t>
  </si>
  <si>
    <t xml:space="preserve">Customers per day (approx.)</t>
  </si>
  <si>
    <t xml:space="preserve">2024</t>
  </si>
  <si>
    <t xml:space="preserve">'around 20,000'.</t>
  </si>
  <si>
    <t xml:space="preserve">Conflicts with &gt;15,000 in 2023 only by definition/rounding.</t>
  </si>
  <si>
    <t xml:space="preserve">OI-020</t>
  </si>
  <si>
    <t xml:space="preserve">'remains constant at around EUR 45'.</t>
  </si>
  <si>
    <t xml:space="preserve">Conflicts with EUR 50 (2023): measurement/mix change likely.</t>
  </si>
  <si>
    <t xml:space="preserve">OI-021</t>
  </si>
  <si>
    <t xml:space="preserve">Airport units (Henri Coanda)</t>
  </si>
  <si>
    <t xml:space="preserve">Airport outlets</t>
  </si>
  <si>
    <t xml:space="preserve">OI-022</t>
  </si>
  <si>
    <t xml:space="preserve">Employees</t>
  </si>
  <si>
    <t xml:space="preserve">early 2024</t>
  </si>
  <si>
    <t xml:space="preserve">https://www.revistabiz.ro/grupul-city-grill-mizeaza-pe-afaceri-de-peste-60-milioane-euro-in-2024/</t>
  </si>
  <si>
    <t xml:space="preserve">Grupul City Grill mizeaza pe afaceri de peste 60 milioane euro in 2024</t>
  </si>
  <si>
    <t xml:space="preserve">2024-02 (approx.)</t>
  </si>
  <si>
    <t xml:space="preserve">'over 1,000'.</t>
  </si>
  <si>
    <t xml:space="preserve">S43</t>
  </si>
  <si>
    <t xml:space="preserve">OI-023</t>
  </si>
  <si>
    <t xml:space="preserve">Marty restaurants / seats (Cluj)</t>
  </si>
  <si>
    <t xml:space="preserve">Oct 2024</t>
  </si>
  <si>
    <t xml:space="preserve">seats (6 restaurants)</t>
  </si>
  <si>
    <t xml:space="preserve">Marty Restaurants</t>
  </si>
  <si>
    <t xml:space="preserve">6 restaurants</t>
  </si>
  <si>
    <t xml:space="preserve">OI-024</t>
  </si>
  <si>
    <t xml:space="preserve">Out4Food active users</t>
  </si>
  <si>
    <t xml:space="preserve">May 2025</t>
  </si>
  <si>
    <t xml:space="preserve">users</t>
  </si>
  <si>
    <t xml:space="preserve">Loyalty app</t>
  </si>
  <si>
    <t xml:space="preserve">https://www.horeca.ro/news/city-grill-group-investitii-in-patrimoniu-si-experienta/</t>
  </si>
  <si>
    <t xml:space="preserve">City Grill Group: Out4Food app 380,000 users, 28% of turnover (ZF English headline 2025-05-20); City Grill Group: investitii in patrimoniu si experienta</t>
  </si>
  <si>
    <t xml:space="preserve">Horeca.ro (company release) / ZF English</t>
  </si>
  <si>
    <t xml:space="preserve">'Active' definition not given.</t>
  </si>
  <si>
    <t xml:space="preserve">S35</t>
  </si>
  <si>
    <t xml:space="preserve">OI-025</t>
  </si>
  <si>
    <t xml:space="preserve">Share of group turnover generated through Out4Food platform</t>
  </si>
  <si>
    <t xml:space="preserve">2025</t>
  </si>
  <si>
    <t xml:space="preserve">Platform-sales definition differs from OI-006.</t>
  </si>
  <si>
    <t xml:space="preserve">OI-026</t>
  </si>
  <si>
    <t xml:space="preserve">Average bill premium of app users vs other customers</t>
  </si>
  <si>
    <t xml:space="preserve">OI-027</t>
  </si>
  <si>
    <t xml:space="preserve">Average bill, restaurants</t>
  </si>
  <si>
    <t xml:space="preserve">'in growth vs previous year'; highest at Pescarus, Hanu' lui Manuc, Oprea Soare, Caru' cu Bere.</t>
  </si>
  <si>
    <t xml:space="preserve">Prior-year bill in RON not disclosed.</t>
  </si>
  <si>
    <t xml:space="preserve">OI-028</t>
  </si>
  <si>
    <t xml:space="preserve">2026</t>
  </si>
  <si>
    <t xml:space="preserve">'over 1,100'.</t>
  </si>
  <si>
    <t xml:space="preserve">OI-029</t>
  </si>
  <si>
    <t xml:space="preserve">Locations operated</t>
  </si>
  <si>
    <t xml:space="preserve">Oct 2026</t>
  </si>
  <si>
    <t xml:space="preserve">Group, all concept types</t>
  </si>
  <si>
    <t xml:space="preserve">Wall-Street (Jun 2026): '44 restaurants open'.</t>
  </si>
  <si>
    <t xml:space="preserve">Not comparable with 24 restaurants (2024): includes cafes, airport, Marty, hotel/events/managed units.</t>
  </si>
  <si>
    <t xml:space="preserve">OI-030</t>
  </si>
  <si>
    <t xml:space="preserve">Locations opened and closed since 2004 - closed</t>
  </si>
  <si>
    <t xml:space="preserve">to Jun 2026</t>
  </si>
  <si>
    <t xml:space="preserve">Founder: 'closed 26 in 22 years'.</t>
  </si>
  <si>
    <t xml:space="preserve">Forbes 2024: 45 opened / 21 closed in 20 years.</t>
  </si>
  <si>
    <t xml:space="preserve">OI-031</t>
  </si>
  <si>
    <t xml:space="preserve">Locations (approx.)</t>
  </si>
  <si>
    <t xml:space="preserve">Jul-Aug 2026</t>
  </si>
  <si>
    <t xml:space="preserve">Some directly owned, some managed (e.g. Caru' cu Bere)</t>
  </si>
  <si>
    <t xml:space="preserve">Conflicts with 44 (OI-029).</t>
  </si>
  <si>
    <t xml:space="preserve">OI-032</t>
  </si>
  <si>
    <t xml:space="preserve">Ready-meals production, current</t>
  </si>
  <si>
    <t xml:space="preserve">portions/day</t>
  </si>
  <si>
    <t xml:space="preserve">Central production</t>
  </si>
  <si>
    <t xml:space="preserve">OI-033</t>
  </si>
  <si>
    <t xml:space="preserve">Ready-meals production, planned capacity</t>
  </si>
  <si>
    <t xml:space="preserve">2027</t>
  </si>
  <si>
    <t xml:space="preserve">Buftea plant</t>
  </si>
  <si>
    <t xml:space="preserve">~100 new jobs; &gt;20 products.</t>
  </si>
  <si>
    <t xml:space="preserve">OI-034</t>
  </si>
  <si>
    <t xml:space="preserve">Ownership - Petrescu family share</t>
  </si>
  <si>
    <t xml:space="preserve">Shareholders</t>
  </si>
  <si>
    <t xml:space="preserve">Marian Alecu and Daniel Mischie hold the remaining ~40%.</t>
  </si>
  <si>
    <t xml:space="preserve">OI-035</t>
  </si>
  <si>
    <t xml:space="preserve">Share of customers who are foreign tourists (Old Town restaurants)</t>
  </si>
  <si>
    <t xml:space="preserve">Selected restaurants</t>
  </si>
  <si>
    <t xml:space="preserve">Company-commissioned statistic.</t>
  </si>
  <si>
    <t xml:space="preserve">Method undisclosed.</t>
  </si>
  <si>
    <t xml:space="preserve">OI-036</t>
  </si>
  <si>
    <t xml:space="preserve">Bucharest survey: City Grill restaurants are first choice</t>
  </si>
  <si>
    <t xml:space="preserve">Apr 2024</t>
  </si>
  <si>
    <t xml:space="preserve">n=550 Bucharest residents</t>
  </si>
  <si>
    <t xml:space="preserve">Company-commissioned.</t>
  </si>
  <si>
    <t xml:space="preserve">OI-037</t>
  </si>
  <si>
    <t xml:space="preserve">Planned capacity increase at Hanu' lui Manuc</t>
  </si>
  <si>
    <t xml:space="preserve">Interior capacity</t>
  </si>
  <si>
    <t xml:space="preserve">OI-050</t>
  </si>
  <si>
    <t xml:space="preserve">Corporate event: 49% stakes in Maison des Crepes and Aubergine (~EUR 1M)</t>
  </si>
  <si>
    <t xml:space="preserve">c. 2021</t>
  </si>
  <si>
    <t xml:space="preserve">event</t>
  </si>
  <si>
    <t xml:space="preserve">Minority acquisition</t>
  </si>
  <si>
    <t xml:space="preserve">ZF English headline (date not captured).</t>
  </si>
  <si>
    <t xml:space="preserve">Aubergine later fully integrated (S01).</t>
  </si>
  <si>
    <t xml:space="preserve">OI-051</t>
  </si>
  <si>
    <t xml:space="preserve">Corporate event: majority (55%) of Marty Restaurants, Cluj</t>
  </si>
  <si>
    <t xml:space="preserve">Acquisition</t>
  </si>
  <si>
    <t xml:space="preserve">Founders keep operations.</t>
  </si>
  <si>
    <t xml:space="preserve">Affects 2025 consolidated vs existing-brand comparability.</t>
  </si>
  <si>
    <t xml:space="preserve">OI-052</t>
  </si>
  <si>
    <t xml:space="preserve">Corporate event: Monte Carlo (Cismigiu) takeover via related company</t>
  </si>
  <si>
    <t xml:space="preserve">early 2025</t>
  </si>
  <si>
    <t xml:space="preserve">Related company (Petrescu 55%, Alecu, Mischie)</t>
  </si>
  <si>
    <t xml:space="preserve">https://profit.ro/povesti-cu-profit/city-grill-renoveaza-restaurante-celebre-ca-cerbul-carpatin-gambrinus-si-fostul-monte-carlo-22366112</t>
  </si>
  <si>
    <t xml:space="preserve">Marty acquisition / Zooma / Monte Carlo / Cazino coverage (Profit.ro cluster)</t>
  </si>
  <si>
    <t xml:space="preserve">Perimeter relative to group unclear.</t>
  </si>
  <si>
    <t xml:space="preserve">S50</t>
  </si>
  <si>
    <t xml:space="preserve">OI-053</t>
  </si>
  <si>
    <t xml:space="preserve">Corporate event: Zooma events complex (Corbeanca) integrated</t>
  </si>
  <si>
    <t xml:space="preserve">Portfolio addition</t>
  </si>
  <si>
    <t xml:space="preserve">OI-054</t>
  </si>
  <si>
    <t xml:space="preserve">Corporate event: Gloria Jean's franchise cafe, Baneasa Shopping City</t>
  </si>
  <si>
    <t xml:space="preserve">New opening</t>
  </si>
  <si>
    <t xml:space="preserve">OI-055</t>
  </si>
  <si>
    <t xml:space="preserve">Corporate event: Constanta Casino cafe-bistro opened</t>
  </si>
  <si>
    <t xml:space="preserve">OI-056</t>
  </si>
  <si>
    <t xml:space="preserve">Planned opening: Cerbul Carpatin (Brasov) and Berarie Gambrinus (Bucharest)</t>
  </si>
  <si>
    <t xml:space="preserve">Oct-Nov 2026</t>
  </si>
  <si>
    <t xml:space="preserve">Planned openings</t>
  </si>
  <si>
    <t xml:space="preserve">OI-057</t>
  </si>
  <si>
    <t xml:space="preserve">Corporate event: leadership change (new CEO, Executive Chairman)</t>
  </si>
  <si>
    <t xml:space="preserve">Governance</t>
  </si>
  <si>
    <t xml:space="preserve">C. Polcovnicu CEO; D. Mischie Executive Chairman focusing on M&amp;A.</t>
  </si>
  <si>
    <t xml:space="preserve">OI-058</t>
  </si>
  <si>
    <t xml:space="preserve">Corporate event: Bucharest Stock Exchange listing under consideration</t>
  </si>
  <si>
    <t xml:space="preserve">Founder statement; no decision.</t>
  </si>
  <si>
    <t xml:space="preserve">KPI_ID</t>
  </si>
  <si>
    <t xml:space="preserve">KPI_Name</t>
  </si>
  <si>
    <t xml:space="preserve">Formula (text)</t>
  </si>
  <si>
    <t xml:space="preserve">Input_1_ID</t>
  </si>
  <si>
    <t xml:space="preserve">Input_1</t>
  </si>
  <si>
    <t xml:space="preserve">Input_2_ID</t>
  </si>
  <si>
    <t xml:space="preserve">Input_2</t>
  </si>
  <si>
    <t xml:space="preserve">Input_3_ID</t>
  </si>
  <si>
    <t xml:space="preserve">Input_3</t>
  </si>
  <si>
    <t xml:space="preserve">Result</t>
  </si>
  <si>
    <t xml:space="preserve">Definition</t>
  </si>
  <si>
    <t xml:space="preserve">Comparability_and_Use_Note</t>
  </si>
  <si>
    <t xml:space="preserve">Use_in_Dashboard</t>
  </si>
  <si>
    <t xml:space="preserve">Input_4_ID</t>
  </si>
  <si>
    <t xml:space="preserve">Input_4</t>
  </si>
  <si>
    <t xml:space="preserve">K01</t>
  </si>
  <si>
    <t xml:space="preserve">Revenue growth, RON, 2019 vs 2018</t>
  </si>
  <si>
    <t xml:space="preserve">FY2019 vs FY2018</t>
  </si>
  <si>
    <t xml:space="preserve">Rev2019 / Rev2018 - 1</t>
  </si>
  <si>
    <t xml:space="preserve">Year-over-year growth of company-reported turnover in RON.</t>
  </si>
  <si>
    <t xml:space="preserve">Company reported +13%; the 13.3% result reconciles. Use RON series because the FY2018 EUR figure conflicts with RON (see CF-001).</t>
  </si>
  <si>
    <t xml:space="preserve">Use</t>
  </si>
  <si>
    <t xml:space="preserve">K02</t>
  </si>
  <si>
    <t xml:space="preserve">Revenue growth, RON, 2024 vs 2023</t>
  </si>
  <si>
    <t xml:space="preserve">FY2024 vs FY2023</t>
  </si>
  <si>
    <t xml:space="preserve">Rev2024 / Rev2023 - 1</t>
  </si>
  <si>
    <t xml:space="preserve">Year-over-year growth of company-reported RON turnover.</t>
  </si>
  <si>
    <t xml:space="preserve">Same currency, same company-reported group scope; pre-Marty consolidation. Best like-for-like growth figure available for 2024.</t>
  </si>
  <si>
    <t xml:space="preserve">K03</t>
  </si>
  <si>
    <t xml:space="preserve">Revenue growth, existing brands, 2025 vs 2024</t>
  </si>
  <si>
    <t xml:space="preserve">FY2025 vs FY2024</t>
  </si>
  <si>
    <t xml:space="preserve">ExistingBrands2025 / Rev2024 - 1</t>
  </si>
  <si>
    <t xml:space="preserve">EUR growth of brands that were active in both years (company definition) vs 2024 group revenue.</t>
  </si>
  <si>
    <t xml:space="preserve">Company states +10%. Company definition of 'existing brands' is not audited; treat as like-for-like proxy, not as audited organic growth.</t>
  </si>
  <si>
    <t xml:space="preserve">Use (qualified)</t>
  </si>
  <si>
    <t xml:space="preserve">K04</t>
  </si>
  <si>
    <t xml:space="preserve">Revenue growth, consolidated, 2025 vs 2024</t>
  </si>
  <si>
    <t xml:space="preserve">Consolidated2025 / Rev2024 - 1</t>
  </si>
  <si>
    <t xml:space="preserve">EUR growth of consolidated revenue including acquired Marty Restaurants and Aubergine vs prior-year group revenue.</t>
  </si>
  <si>
    <t xml:space="preserve">Inflated by acquisitions. NOT organic growth. Use only together with K03.</t>
  </si>
  <si>
    <t xml:space="preserve">Use (flagged: acquisition effect)</t>
  </si>
  <si>
    <t xml:space="preserve">K05</t>
  </si>
  <si>
    <t xml:space="preserve">Acquisition-related revenue contribution, 2025</t>
  </si>
  <si>
    <t xml:space="preserve">Consolidated2025 - ExistingBrands2025</t>
  </si>
  <si>
    <t xml:space="preserve">Revenue difference between consolidated and existing-brand scopes.</t>
  </si>
  <si>
    <t xml:space="preserve">Approximates revenue of newly consolidated activities; the company does not define the bridge, so treat as indicative.</t>
  </si>
  <si>
    <t xml:space="preserve">K06</t>
  </si>
  <si>
    <t xml:space="preserve">Acquisition effect on growth</t>
  </si>
  <si>
    <t xml:space="preserve">ConsolidatedGrowth - ExistingBrandGrowth (pp)</t>
  </si>
  <si>
    <t xml:space="preserve">pp</t>
  </si>
  <si>
    <t xml:space="preserve">Percentage points of 2025 growth that stem from the wider consolidation scope.</t>
  </si>
  <si>
    <t xml:space="preserve">Derived from K03/K04; same EUR currency.</t>
  </si>
  <si>
    <t xml:space="preserve">K07</t>
  </si>
  <si>
    <t xml:space="preserve">Revenue CAGR, RON, 2019-2024 (5 years)</t>
  </si>
  <si>
    <t xml:space="preserve">FY2019-FY2024</t>
  </si>
  <si>
    <t xml:space="preserve">(Rev2024/Rev2019)^(1/5)-1</t>
  </si>
  <si>
    <t xml:space="preserve">Compound annual growth of RON turnover.</t>
  </si>
  <si>
    <t xml:space="preserve">Both ends company-reported RON, group scope, before the 2024-25 acquisitions. Nominal; spans the 2022-23 inflation spike (not deflated).</t>
  </si>
  <si>
    <t xml:space="preserve">K08</t>
  </si>
  <si>
    <t xml:space="preserve">Revenue CAGR, 2019-2025, existing brands (RON via BNR average)</t>
  </si>
  <si>
    <t xml:space="preserve">((ExistingBrands2025_EUR x FX2025)/Rev2019_RON)^(1/6)-1</t>
  </si>
  <si>
    <t xml:space="preserve">6-year CAGR with the 2025 EUR figure converted to RON at the BNR 2025 annual average.</t>
  </si>
  <si>
    <t xml:space="preserve">FX method: BNR annual average of the end year (MA-026). Mixed reporting basis (RON in 2019, EUR in 2025). Qualified.</t>
  </si>
  <si>
    <t xml:space="preserve">K09</t>
  </si>
  <si>
    <t xml:space="preserve">Revenue CAGR, EUR, 2022-2025, existing brands</t>
  </si>
  <si>
    <t xml:space="preserve">FY2022-FY2025</t>
  </si>
  <si>
    <t xml:space="preserve">(ExistingBrands2025/Rev2022)^(1/3)-1</t>
  </si>
  <si>
    <t xml:space="preserve">3-year EUR CAGR using company-stated EUR figures.</t>
  </si>
  <si>
    <t xml:space="preserve">The 2022 EUR figure is an interview statement (grade C, Estimated). Qualified.</t>
  </si>
  <si>
    <t xml:space="preserve">K10</t>
  </si>
  <si>
    <t xml:space="preserve">Revenue growth, EUR, 2021 vs 2020</t>
  </si>
  <si>
    <t xml:space="preserve">FY2021 vs FY2020</t>
  </si>
  <si>
    <t xml:space="preserve">Rev2021 / Rev2020 - 1</t>
  </si>
  <si>
    <t xml:space="preserve">Growth during pandemic recovery on interview-stated EUR figures.</t>
  </si>
  <si>
    <t xml:space="preserve">Both ends are Estimated (grade C); round figures. Indicative only.</t>
  </si>
  <si>
    <t xml:space="preserve">Indicative</t>
  </si>
  <si>
    <t xml:space="preserve">K11</t>
  </si>
  <si>
    <t xml:space="preserve">Revenue growth, EUR, 2022 vs 2021</t>
  </si>
  <si>
    <t xml:space="preserve">FY2022 vs FY2021</t>
  </si>
  <si>
    <t xml:space="preserve">Rev2022 / Rev2021 - 1</t>
  </si>
  <si>
    <t xml:space="preserve">Growth on interview-stated EUR figures.</t>
  </si>
  <si>
    <t xml:space="preserve">Both ends Estimated (grade C). Indicative only.</t>
  </si>
  <si>
    <t xml:space="preserve">K12</t>
  </si>
  <si>
    <t xml:space="preserve">Revenue growth, EUR, 2023 vs 2022</t>
  </si>
  <si>
    <t xml:space="preserve">FY2023 vs FY2022</t>
  </si>
  <si>
    <t xml:space="preserve">Rev2023 / Rev2022 - 1</t>
  </si>
  <si>
    <t xml:space="preserve">Growth using the company EUR equivalent of RON 280M against the 2022 interview figure.</t>
  </si>
  <si>
    <t xml:space="preserve">2022 base is Estimated (grade C). Indicative only.</t>
  </si>
  <si>
    <t xml:space="preserve">K13</t>
  </si>
  <si>
    <t xml:space="preserve">Revenue gap to FY2026 target (consolidated)</t>
  </si>
  <si>
    <t xml:space="preserve">FY2026 target vs FY2025 actual</t>
  </si>
  <si>
    <t xml:space="preserve">Target2026 - Consolidated2025</t>
  </si>
  <si>
    <t xml:space="preserve">Absolute revenue the group must add in 2026 to reach the announced EUR 100M target.</t>
  </si>
  <si>
    <t xml:space="preserve">Target is consolidated; compare with consolidated 2025 only. A target is not performance.</t>
  </si>
  <si>
    <t xml:space="preserve">K14</t>
  </si>
  <si>
    <t xml:space="preserve">Growth required in 2026 to hit target (EUR)</t>
  </si>
  <si>
    <t xml:space="preserve">Target2026 / Consolidated2025 - 1</t>
  </si>
  <si>
    <t xml:space="preserve">Growth rate needed from the 2025 consolidated base.</t>
  </si>
  <si>
    <t xml:space="preserve">Cross-check: management stated growth objective of 10-12% (CF-037/038).</t>
  </si>
  <si>
    <t xml:space="preserve">K15</t>
  </si>
  <si>
    <t xml:space="preserve">Growth required in 2026 to hit target (RON)</t>
  </si>
  <si>
    <t xml:space="preserve">RONTarget2026 / (Consolidated2025_EUR x FX2025) - 1</t>
  </si>
  <si>
    <t xml:space="preserve">Same requirement expressed in RON, converting 2025 EUR revenue at the BNR 2025 average.</t>
  </si>
  <si>
    <t xml:space="preserve">The RON target implies about 5.0 RON/EUR (CF-036/CF-035). 'Over RON 500M' is a floor, not a point estimate.</t>
  </si>
  <si>
    <t xml:space="preserve">K16</t>
  </si>
  <si>
    <t xml:space="preserve">Implied FX in announced RON/EUR targets</t>
  </si>
  <si>
    <t xml:space="preserve">FY2026 target</t>
  </si>
  <si>
    <t xml:space="preserve">RONTarget / EURTarget</t>
  </si>
  <si>
    <t xml:space="preserve">Exchange rate implied by the two target statements.</t>
  </si>
  <si>
    <t xml:space="preserve">Reconciliation of the two target figures; BNR 2026 snapshot is higher (MA-028).</t>
  </si>
  <si>
    <t xml:space="preserve">Reconciliation</t>
  </si>
  <si>
    <t xml:space="preserve">K17</t>
  </si>
  <si>
    <t xml:space="preserve">H1 2026 reported growth vs required growth</t>
  </si>
  <si>
    <t xml:space="preserve">ReportedH1Growth - RequiredGrowth (pp)</t>
  </si>
  <si>
    <t xml:space="preserve">Gap between the H1 2026 growth reported and the full-year growth needed for the EUR 100M target.</t>
  </si>
  <si>
    <t xml:space="preserve">H1 scope and absolute H1 revenue are not published (CF-034 'scope not stated'). Negative gap means the H1 pace was below the pace the target needs; a full-year conclusion needs H2.</t>
  </si>
  <si>
    <t xml:space="preserve">Use (flagged: scope unknown)</t>
  </si>
  <si>
    <t xml:space="preserve">K18</t>
  </si>
  <si>
    <t xml:space="preserve">Scope diagnostic: 10M-2025 revenue / FY2025 existing brands</t>
  </si>
  <si>
    <t xml:space="preserve">Jan-Oct 2025 vs FY2025</t>
  </si>
  <si>
    <t xml:space="preserve">Rev10M / ExistingBrands2025</t>
  </si>
  <si>
    <t xml:space="preserve">ratio</t>
  </si>
  <si>
    <t xml:space="preserve">Share of the full-year existing-brand revenue booked by October.</t>
  </si>
  <si>
    <t xml:space="preserve">About 85% is consistent with a typical seasonal profile (Nov-Dec about 15%) and suggests the 10M figure is on the existing-brand scope; against consolidated EUR 90M the ratio would be 71%, which is implausibly low.</t>
  </si>
  <si>
    <t xml:space="preserve">Diagnostic</t>
  </si>
  <si>
    <t xml:space="preserve">K19</t>
  </si>
  <si>
    <t xml:space="preserve">Company vs HORA restaurants &amp; bars growth, 2025 (existing brands)</t>
  </si>
  <si>
    <t xml:space="preserve">ExistingBrandGrowth - IndustryGrowth (pp)</t>
  </si>
  <si>
    <t xml:space="preserve">Percentage-point out/underperformance of like-for-like company growth against nominal growth of restaurant and bar turnover in filed accounts.</t>
  </si>
  <si>
    <t xml:space="preserve">Both nominal. Industry figure is HORA analysis of filed accounts (grade C), not INS. Company scope includes hotels, events and bars.</t>
  </si>
  <si>
    <t xml:space="preserve">K20</t>
  </si>
  <si>
    <t xml:space="preserve">Company (consolidated) vs HORA restaurants &amp; bars growth, 2025</t>
  </si>
  <si>
    <t xml:space="preserve">ConsolidatedGrowth - IndustryGrowth (pp)</t>
  </si>
  <si>
    <t xml:space="preserve">Outperformance if consolidated growth were compared directly with the industry.</t>
  </si>
  <si>
    <t xml:space="preserve">UNSUITABLE: includes acquired revenue. Shown only to document why K19 is used.</t>
  </si>
  <si>
    <t xml:space="preserve">Do not use</t>
  </si>
  <si>
    <t xml:space="preserve">K21</t>
  </si>
  <si>
    <t xml:space="preserve">Company vs total HoReCa growth, 2025 (existing brands)</t>
  </si>
  <si>
    <t xml:space="preserve">ExistingBrandGrowth - HoReCaGrowth (pp)</t>
  </si>
  <si>
    <t xml:space="preserve">Comparison with the broader HoReCa aggregate (hotels, restaurants, bars, tourism agencies).</t>
  </si>
  <si>
    <t xml:space="preserve">HoReCa aggregate scope is wider than the company's. Secondary benchmark.</t>
  </si>
  <si>
    <t xml:space="preserve">K22</t>
  </si>
  <si>
    <t xml:space="preserve">Real company growth, 2025 (existing brands, CPI-deflated)</t>
  </si>
  <si>
    <t xml:space="preserve">(1+Growth)/(1+CPI)-1</t>
  </si>
  <si>
    <t xml:space="preserve">Nominal like-for-like growth deflated with general CPI annual average.</t>
  </si>
  <si>
    <t xml:space="preserve">General CPI used because company-specific price index is not published. Restaurant-price CPI would be higher, giving a lower real growth.</t>
  </si>
  <si>
    <t xml:space="preserve">K23</t>
  </si>
  <si>
    <t xml:space="preserve">Company real growth vs INS real volume index, 2025</t>
  </si>
  <si>
    <t xml:space="preserve">RealCompanyGrowth - (INSindex-100) (pp)</t>
  </si>
  <si>
    <t xml:space="preserve">Real company growth against INS volume-of-turnover index for hotels and restaurants.</t>
  </si>
  <si>
    <t xml:space="preserve">INS series covers market services to population (B2C) and is a volume index, not turnover. Qualified.</t>
  </si>
  <si>
    <t xml:space="preserve">K24</t>
  </si>
  <si>
    <t xml:space="preserve">Real company growth vs INS volume, 2024 (RON)</t>
  </si>
  <si>
    <t xml:space="preserve">((1+RONgrowth)/(1+CPI)-1) - INS yoy (pp)</t>
  </si>
  <si>
    <t xml:space="preserve">As K23 for 2024 using RON group revenue.</t>
  </si>
  <si>
    <t xml:space="preserve">INS 2024 figure is a gross-series yoy rate. Qualified.</t>
  </si>
  <si>
    <t xml:space="preserve">K25</t>
  </si>
  <si>
    <t xml:space="preserve">Revenue-share proxy, 2025 (existing brands, RON)</t>
  </si>
  <si>
    <t xml:space="preserve">(ExistingBrands2025_EUR x FX2025) / RestaurantBarTurnover2025</t>
  </si>
  <si>
    <t xml:space="preserve">Indicative share of company revenue in the HORA restaurants &amp; bars turnover (RON 32bn).</t>
  </si>
  <si>
    <t xml:space="preserve">PROXY, not official market share: the 32bn is an approximate rounded figure from filed accounts; company revenue includes hotels, events, catering and bars; EUR to RON at BNR average.</t>
  </si>
  <si>
    <t xml:space="preserve">Use (flagged proxy)</t>
  </si>
  <si>
    <t xml:space="preserve">K26</t>
  </si>
  <si>
    <t xml:space="preserve">Revenue-share proxy, 2024 (RON)</t>
  </si>
  <si>
    <t xml:space="preserve">Rev2024_RON / (RestaurantBarTurnover2025 / (1+growth2025))</t>
  </si>
  <si>
    <t xml:space="preserve">Backed-out 2024 industry turnover from 2025 turnover and growth; company RON 339M.</t>
  </si>
  <si>
    <t xml:space="preserve">PROXY chained from a rounded estimate; the 2024 industry base is derived, not reported.</t>
  </si>
  <si>
    <t xml:space="preserve">Indicative (flagged proxy)</t>
  </si>
  <si>
    <t xml:space="preserve">K27</t>
  </si>
  <si>
    <t xml:space="preserve">Investment growth, FY2026 budget vs FY2025 actual (EUR)</t>
  </si>
  <si>
    <t xml:space="preserve">FY2026 vs FY2025</t>
  </si>
  <si>
    <t xml:space="preserve">Budget2026 / Spend2025 - 1</t>
  </si>
  <si>
    <t xml:space="preserve">Growth in planned investment against last spend.</t>
  </si>
  <si>
    <t xml:space="preserve">Plan vs spend: a budget is not expenditure. Do not present as investment growth achieved.</t>
  </si>
  <si>
    <t xml:space="preserve">Use (flagged: plan vs actual)</t>
  </si>
  <si>
    <t xml:space="preserve">K28</t>
  </si>
  <si>
    <t xml:space="preserve">Investment intensity, FY2025 (consolidated)</t>
  </si>
  <si>
    <t xml:space="preserve">Investment2025 / Consolidated2025</t>
  </si>
  <si>
    <t xml:space="preserve">Investment expenditure as a share of consolidated revenue.</t>
  </si>
  <si>
    <t xml:space="preserve">Scope of the investment figure (group incl. acquired brands) is not stated. Qualified.</t>
  </si>
  <si>
    <t xml:space="preserve">K29</t>
  </si>
  <si>
    <t xml:space="preserve">Planned investment intensity, FY2026</t>
  </si>
  <si>
    <t xml:space="preserve">Budget2026 / Target2026</t>
  </si>
  <si>
    <t xml:space="preserve">Planned investment as a share of the revenue target.</t>
  </si>
  <si>
    <t xml:space="preserve">Budget over target; both unrealised.</t>
  </si>
  <si>
    <t xml:space="preserve">K30</t>
  </si>
  <si>
    <t xml:space="preserve">Revenue per restaurant, 2024 (EUR m)</t>
  </si>
  <si>
    <t xml:space="preserve">FY2024 / May 2024</t>
  </si>
  <si>
    <t xml:space="preserve">Rev2024 / Restaurants2024</t>
  </si>
  <si>
    <t xml:space="preserve">EUR m per location</t>
  </si>
  <si>
    <t xml:space="preserve">Group revenue divided by the restaurant count.</t>
  </si>
  <si>
    <t xml:space="preserve">QUALIFIED: revenue also includes hotels, events and catering, and the count is from May 2024 and excludes cafes. Use for trend only.</t>
  </si>
  <si>
    <t xml:space="preserve">K31</t>
  </si>
  <si>
    <t xml:space="preserve">Revenue per location, 2019 (RON m)</t>
  </si>
  <si>
    <t xml:space="preserve">FY2019 / May 2019</t>
  </si>
  <si>
    <t xml:space="preserve">Rev2019 / Locations2019</t>
  </si>
  <si>
    <t xml:space="preserve">RON m per location</t>
  </si>
  <si>
    <t xml:space="preserve">Group revenue divided by restaurants and cafes.</t>
  </si>
  <si>
    <t xml:space="preserve">Point-in-time count, full-year revenue. Qualified.</t>
  </si>
  <si>
    <t xml:space="preserve">K32</t>
  </si>
  <si>
    <t xml:space="preserve">Reconciliation: implied FX 2023 (RON / EUR figures)</t>
  </si>
  <si>
    <t xml:space="preserve">Rev2023_RON / Rev2023_EUR</t>
  </si>
  <si>
    <t xml:space="preserve">Internal consistency of company RON and EUR figures.</t>
  </si>
  <si>
    <t xml:space="preserve">Compare with BNR 2023 average (MA-024).</t>
  </si>
  <si>
    <t xml:space="preserve">K33</t>
  </si>
  <si>
    <t xml:space="preserve">Reconciliation: implied FX 2024 (RON / EUR figures)</t>
  </si>
  <si>
    <t xml:space="preserve">Rev2024_RON / Rev2024_EUR</t>
  </si>
  <si>
    <t xml:space="preserve">Compare with BNR 2024 average (MA-025).</t>
  </si>
  <si>
    <t xml:space="preserve">K34</t>
  </si>
  <si>
    <t xml:space="preserve">Operating margin</t>
  </si>
  <si>
    <t xml:space="preserve">OperatingProfit / Revenue</t>
  </si>
  <si>
    <t xml:space="preserve">Group operating profit is not published.</t>
  </si>
  <si>
    <t xml:space="preserve">No public group-level operating profit; do not infer from legal-entity filings.</t>
  </si>
  <si>
    <t xml:space="preserve">Not available</t>
  </si>
  <si>
    <t xml:space="preserve">K35</t>
  </si>
  <si>
    <t xml:space="preserve">Net margin</t>
  </si>
  <si>
    <t xml:space="preserve">NetProfit / Revenue</t>
  </si>
  <si>
    <t xml:space="preserve">Group consolidated net profit is not published.</t>
  </si>
  <si>
    <t xml:space="preserve">ZF's 'Grupul City Grill' figure (CF-043) is an unverified-entity Proxy; not used.</t>
  </si>
  <si>
    <t xml:space="preserve">Title</t>
  </si>
  <si>
    <t xml:space="preserve">Publisher</t>
  </si>
  <si>
    <t xml:space="preserve">URL</t>
  </si>
  <si>
    <t xml:space="preserve">Source_Tier_and_Access</t>
  </si>
  <si>
    <t xml:space="preserve">Note</t>
  </si>
  <si>
    <t xml:space="preserve">Observations_Using_Source</t>
  </si>
  <si>
    <t xml:space="preserve">Tier 2 (relays Tier 1 company release)</t>
  </si>
  <si>
    <t xml:space="preserve">Original company press release not retrieved; same text carried by ZF, Profit.ro, Forbes.ro, Economica.net, Romania-Insider.</t>
  </si>
  <si>
    <t xml:space="preserve">Tier 2</t>
  </si>
  <si>
    <t xml:space="preserve">Corroborates S01; adds average bill RON 290 (2025) and 2025 investment detail via syndicated release.</t>
  </si>
  <si>
    <t xml:space="preserve">Full text retrieved. 44 locations, &gt;1,100 employees, ownership split, 2026 investment items, IPO consideration.</t>
  </si>
  <si>
    <t xml:space="preserve">Tier 2 (founder interview)</t>
  </si>
  <si>
    <t xml:space="preserve">Full text retrieved. Founder statements on market declines are management opinion, not statistics.</t>
  </si>
  <si>
    <t xml:space="preserve">Tier 3</t>
  </si>
  <si>
    <t xml:space="preserve">H1 2026 +2% vs 10-12% 2026 target; RON 35M budget conversion; ~40 units.</t>
  </si>
  <si>
    <t xml:space="preserve">RON 500M 2026 budget; H1 2026 +2%.</t>
  </si>
  <si>
    <t xml:space="preserve">Jan-Oct 2025; scope not stated (see Data_Quality_Checks Q11).</t>
  </si>
  <si>
    <t xml:space="preserve">Tier 2 (headlines only)</t>
  </si>
  <si>
    <t xml:space="preserve">Only headlines/teasers seen; full articles not retrieved. Individual headline dates: 2019-11-21 (9M 2019), 2020-02-10, 2024-09-09, 2025-08-13.</t>
  </si>
  <si>
    <t xml:space="preserve">Tier 2 (relays Tier 1)</t>
  </si>
  <si>
    <t xml:space="preserve">2023 results: EUR 55M, avg bill EUR 50, &gt;15,000 customers/day, &gt;EUR15M investment projects completed.</t>
  </si>
  <si>
    <t xml:space="preserve">H1 2024. Avg bill ~EUR 45 per Romania HoReCa News copy (rhn.ro).</t>
  </si>
  <si>
    <t xml:space="preserve">FY2019 RON 187M vs RON 165M in 2018; 2019 investments &gt;EUR 3.8M.</t>
  </si>
  <si>
    <t xml:space="preserve">FY2018 EUR 37.7M (+11%, +EUR 4M); 2018 investments EUR 2.3M; 2019 budget EUR 3.5M.</t>
  </si>
  <si>
    <t xml:space="preserve">H1 2019 RON 90M (+11%); Out4Food customers = 40% of turnover; avg bill +10%; ~1,500 employees.</t>
  </si>
  <si>
    <t xml:space="preserve">2019 forecast EUR 42M; 5M customers; 9 brands; 18 restaurants/cafes; 1,350 staff.</t>
  </si>
  <si>
    <t xml:space="preserve">Tier 3 (reproduces ZF interview)</t>
  </si>
  <si>
    <t xml:space="preserve">Founder recollection: 2020 ~EUR 16M, 2021 ~EUR 25M, 2022 ~EUR 44M, 2023 est. EUR 52M. Rounded interview figures.</t>
  </si>
  <si>
    <t xml:space="preserve">Out4Food app investment EUR 1M; 70% foreign tourists at Old Town restaurants (company-commissioned statistic).</t>
  </si>
  <si>
    <t xml:space="preserve">Tier 2 (cites Ministry of Finance data)</t>
  </si>
  <si>
    <t xml:space="preserve">55% of Marty; 6 restaurants, 1,321 seats; Marty Pan SRL FY2023 revenue RON 18.6M, net profit RON 6.4M (MFinante via ZF).</t>
  </si>
  <si>
    <t xml:space="preserve">Tier 3 (mirror, proxy host)</t>
  </si>
  <si>
    <t xml:space="preserve">Caption only; entity scope behind 'Grupul City Grill' not verifiable; Economedia ranking labels the third-ranked profit entity 'Blue Restaurant (City Cafeteria / Petrescu)'.</t>
  </si>
  <si>
    <t xml:space="preserve">Tier 3 (industry association; analysis by I. Guda from filed accounts)</t>
  </si>
  <si>
    <t xml:space="preserve">HoReCa 2025 RON 58.44B; restaurants &amp; bars ~RON 32B (+7%). HORA is an employer lobby (D. Mischie is HORA VP) - treat as interested party.</t>
  </si>
  <si>
    <t xml:space="preserve">2024 base RON 52.17B; net profit RON 4.17B -&gt; 3.54B; avg inflation 7.3%; employees 185k -&gt; ~195k (123k in restaurants/bars).</t>
  </si>
  <si>
    <t xml:space="preserve">18,650 restaurant companies; restaurants &amp; bars = 54.8% of HoReCa turnover.</t>
  </si>
  <si>
    <t xml:space="preserve">EUR 7.8B (2025) vs EUR 7.3B (2024) market; ~33,000 units end-2024; delivery 27% vs 26% sit-down. Definition not stated.</t>
  </si>
  <si>
    <t xml:space="preserve">Tier 2 (relays INS)</t>
  </si>
  <si>
    <t xml:space="preserve">INS: hotels &amp; restaurants volume -1.6% in 2024 (gross series). INS originals: insse.ro/cms/sites/default/files/com_presa/com_pdf (cif_afXXrYY.pdf).</t>
  </si>
  <si>
    <t xml:space="preserve">INS: hotels &amp; restaurants volume index 98.1% in 2025 vs 2024; services to population 97.8%. Also Bursa.ro 25.02.2026.</t>
  </si>
  <si>
    <t xml:space="preserve">H1 2026 hotels &amp; restaurants -12.0% yoy gross series; June 2026 -11.9%; Q1 2026 -13.3% (Financial Intelligence).</t>
  </si>
  <si>
    <t xml:space="preserve">Avg 2025 7.3% vs 5.6% in 2024; food +7.75%, services +11.0% (Dec/Dec).</t>
  </si>
  <si>
    <t xml:space="preserve">Mar 2026 y/y 9.9%; 12-month avg 8.5%; restaurants, cafes, canteens +11.60% y/y.</t>
  </si>
  <si>
    <t xml:space="preserve">July 2026 y/y 8.16%; services +13.67%. September 2026 figure not stated in retrieved text.</t>
  </si>
  <si>
    <t xml:space="preserve">Cites INS: restaurant/cafe/canteen prices &gt;+11% y/y in Jun 2026; industry estimate of ~-15% customer traffic.</t>
  </si>
  <si>
    <t xml:space="preserve">Tier 1 (official statistic via aggregator)</t>
  </si>
  <si>
    <t xml:space="preserve">Annual average CPI inflation 2019-2023.</t>
  </si>
  <si>
    <t xml:space="preserve">2024 arrivals 14.2637M, overnights 30.1912M, net occupancy 30.9%.</t>
  </si>
  <si>
    <t xml:space="preserve">Tier 3 (cites INS)</t>
  </si>
  <si>
    <t xml:space="preserve">2019 overnights 29,870.4k; arrivals 2024 +7.7% vs 2019; foreign tourists 2024 2,394.9k (+10.6%).</t>
  </si>
  <si>
    <t xml:space="preserve">2025 arrivals 13.9M (-2.4%), overnights &gt;29.6M (-1.7%), net occupancy 29.8%.</t>
  </si>
  <si>
    <t xml:space="preserve">Tier 2 (relays BNR)</t>
  </si>
  <si>
    <t xml:space="preserve">Other years: cursbnr.nxm.ro (2019-2021, 2023), curs-valutar-bnr.ro (2022), Banca Transilvania BTmacroFOCUS 31-Dec-2021 (2021 4.9204). Spot 5.3414 from Profit.ro BNR ticker on 2026-10-13 page load.</t>
  </si>
  <si>
    <t xml:space="preserve">Dec 2025 H&amp;R net 3,557; Nov 2025 3,403 (Economedia); Nov 2023 2,620 / Nov 2022 2,258 (Actual de Cluj); 2025 national gross 8,716 / net 5,266 (Revista Biz).</t>
  </si>
  <si>
    <t xml:space="preserve">Tier 3 mirror of Tier 1</t>
  </si>
  <si>
    <t xml:space="preserve">Eurostat database not directly reachable here. Net turnover 2022 EUR 5,574.25M (statista.com/statistics/1459202).</t>
  </si>
  <si>
    <t xml:space="preserve">Tier 2/3</t>
  </si>
  <si>
    <t xml:space="preserve">Restaurant-domain turnover RON 14.43B (2021), 19.95B (2022), 21.06B (2023); profit 2.6B / 3.19B / 2.66B. Scope undefined; incompatible with HORA 2024-25 series.</t>
  </si>
  <si>
    <t xml:space="preserve">VAT on HoReCa 9% -&gt; 11% from 2025-08-01; standard 19% -&gt; 21%.</t>
  </si>
  <si>
    <t xml:space="preserve">Out4Food 380,000 active users; 28% of turnover via platform; avg bill +20% for app users.</t>
  </si>
  <si>
    <t xml:space="preserve">EUR 7M over two years; capacity 5,000 -&gt; &gt;15,000 portions/day; ~100 jobs; &gt;20 ready-meal products.</t>
  </si>
  <si>
    <t xml:space="preserve">2019 budget EUR 3.5M; target &gt;EUR 42M.</t>
  </si>
  <si>
    <t xml:space="preserve">S38</t>
  </si>
  <si>
    <t xml:space="preserve">Grupul City Grill: 20 de ani - 10 branduri, 45 deschise / 21 inchise</t>
  </si>
  <si>
    <t xml:space="preserve">https://www.forbes.ro/?p=392918</t>
  </si>
  <si>
    <t xml:space="preserve">2024-05 (approx.)</t>
  </si>
  <si>
    <t xml:space="preserve">10 brands (8 proprietary); 45 locations opened and 21 closed in 20 years; 2024 estimate EUR 60M; &gt;EUR 20M investment budget.</t>
  </si>
  <si>
    <t xml:space="preserve">Converts RON 280M/339M to EUR 54.92M/66.49M (single ~5.098 spot rate) - conflicts with company conversions.</t>
  </si>
  <si>
    <t xml:space="preserve">H1 2024 investment EUR 1.5M, H2 budget EUR 2M; ~20,000 customers/day; 24 locations in Bucharest plus 7 airport units.</t>
  </si>
  <si>
    <t xml:space="preserve">2020 plan +12%; permanent staff 1,350, &gt;1,500 in summer.</t>
  </si>
  <si>
    <t xml:space="preserve">10 brands, 24 restaurants; EUR 60M estimate; &gt;EUR 20M budget.</t>
  </si>
  <si>
    <t xml:space="preserve">&gt;1,000 employees; avg bill by restaurant 2023.</t>
  </si>
  <si>
    <t xml:space="preserve">Planned: EUR 3M central kitchen (Otopeni) + EUR 5M for three La Boheme hotels.</t>
  </si>
  <si>
    <t xml:space="preserve">2018 investment budget EUR 4.5M; H1 2018 RON 81M (+15%).</t>
  </si>
  <si>
    <t xml:space="preserve">Tier 1 (classification; definitions applied from knowledge, page not retrieved)</t>
  </si>
  <si>
    <t xml:space="preserve">Used for classification notes only; no numeric data taken.</t>
  </si>
  <si>
    <t xml:space="preserve">Also operators report 5-15% traffic decline after Aug-2025 fiscal measures (HORA president).</t>
  </si>
  <si>
    <t xml:space="preserve">Same page as S47.</t>
  </si>
  <si>
    <t xml:space="preserve">Retail volume 2025 +0.2%, food -2.7%.</t>
  </si>
  <si>
    <t xml:space="preserve">Sep 2024 y/y 4.6%; restaurant prices ~+10%.</t>
  </si>
  <si>
    <t xml:space="preserve">Monte Carlo (Cismigiu) takeover via related company (Petrescu 55%, Alecu, Mischie); Cerbul Carpatin, Gambrinus projects; Zooma event complex integrated.</t>
  </si>
  <si>
    <t xml:space="preserve">Inaccessible primary sources (access limits)</t>
  </si>
  <si>
    <t xml:space="preserve">Romanian Ministry of Finance filed accounts (MFinante / ANAF) for City Grill legal entities: not reachable; group totals are therefore taken from company releases.</t>
  </si>
  <si>
    <t xml:space="preserve">INS TEMPO-Online and Eurostat tables: not queried directly; INS figures are relayed via business media (grade B/C) and flagged accordingly.</t>
  </si>
  <si>
    <t xml:space="preserve">Original City Grill press release: reproduced by Bursa.ro (S01) and echoed by ZF (S02); the company-site original was not retrieved.</t>
  </si>
  <si>
    <t xml:space="preserve">No audited group consolidated statements are public; legal-entity filings were deliberately not summed.</t>
  </si>
  <si>
    <t xml:space="preserve">Field</t>
  </si>
  <si>
    <t xml:space="preserve">Allowed_Values_or_Format</t>
  </si>
  <si>
    <t xml:space="preserve">Unique ID: CF = Company_Financials, RM = Restaurant_Market, MA = Macroeconomic_Context, OI = Operating_Indicators, then a running number.</t>
  </si>
  <si>
    <t xml:space="preserve">CF-001 ... OI-058</t>
  </si>
  <si>
    <t xml:space="preserve">Plain-language name of the measure including basis (reported/as converted).</t>
  </si>
  <si>
    <t xml:space="preserve">Text</t>
  </si>
  <si>
    <t xml:space="preserve">Actual period the figure describes, not the publication date.</t>
  </si>
  <si>
    <t xml:space="preserve">FYyyyy, H1 yyyy, Jan-Oct yyyy, month, or 'date unavailable'</t>
  </si>
  <si>
    <t xml:space="preserve">Numeric value as originally reported. Blank where the metric is unavailable (missing is not zero).</t>
  </si>
  <si>
    <t xml:space="preserve">Number</t>
  </si>
  <si>
    <t xml:space="preserve">Unit of the value.</t>
  </si>
  <si>
    <t xml:space="preserve">EUR m, RON m, RON bn, %, pp, count, index, persons</t>
  </si>
  <si>
    <t xml:space="preserve">Currency of the figure. EUR and RON are never mixed without BNR average conversion (see README).</t>
  </si>
  <si>
    <t xml:space="preserve">EUR, RON, n/a</t>
  </si>
  <si>
    <t xml:space="preserve">Geography covered.</t>
  </si>
  <si>
    <t xml:space="preserve">Entity the figure describes.</t>
  </si>
  <si>
    <t xml:space="preserve">City Grill Group, INS, HORA, etc.</t>
  </si>
  <si>
    <t xml:space="preserve">Consolidation or statistical scope, including acquisition effects.</t>
  </si>
  <si>
    <t xml:space="preserve">Reported actual = published historic result; Reported target = management goal or budget; Calculated = derived by us; Estimated = approximate or interview-based; Proxy = indirect or scope-mismatched substitute; Unavailable = not public.</t>
  </si>
  <si>
    <t xml:space="preserve">Reported actual / Reported target / Calculated / Estimated / Proxy / Unavailable</t>
  </si>
  <si>
    <t xml:space="preserve">Source_URL / Source_Title / Source_Publisher</t>
  </si>
  <si>
    <t xml:space="preserve">Identifies the document the figure was taken from. See Source_Register for tier and access notes.</t>
  </si>
  <si>
    <t xml:space="preserve">URL, text</t>
  </si>
  <si>
    <t xml:space="preserve">Date the source was published; approximate where the page does not show one.</t>
  </si>
  <si>
    <t xml:space="preserve">YYYY-MM-DD or text</t>
  </si>
  <si>
    <t xml:space="preserve">Date the source was reviewed.</t>
  </si>
  <si>
    <t xml:space="preserve">What the source actually says, including quoted growth rates.</t>
  </si>
  <si>
    <t xml:space="preserve">A = official statistics/primary original; B = company-reported via reputable media or official data relayed; C = secondary, interview or approximate; D = third-party conversion, snippet or doubtful scope.</t>
  </si>
  <si>
    <t xml:space="preserve">A / B / C / D</t>
  </si>
  <si>
    <t xml:space="preserve">Why the figure may not be comparable with others (scope, currency, period).</t>
  </si>
  <si>
    <t xml:space="preserve">Key into Source_Register.</t>
  </si>
  <si>
    <t xml:space="preserve">S01 ...</t>
  </si>
  <si>
    <t xml:space="preserve">KPI formulas</t>
  </si>
  <si>
    <t xml:space="preserve">KPI_Calculations pulls inputs by Metric_ID with INDEX/MATCH; results are live Excel formulas. Use column in the dashboard: 'Use_in_Dashboard'.</t>
  </si>
  <si>
    <t xml:space="preserve">Data quality checks</t>
  </si>
  <si>
    <t xml:space="preserve">Check_ID</t>
  </si>
  <si>
    <t xml:space="preserve">Check</t>
  </si>
  <si>
    <t xml:space="preserve">Expected</t>
  </si>
  <si>
    <t xml:space="preserve">Pass_or_Flag</t>
  </si>
  <si>
    <t xml:space="preserve">Comment</t>
  </si>
  <si>
    <t xml:space="preserve">Q01</t>
  </si>
  <si>
    <t xml:space="preserve">Duplicate Metric_IDs across all data sheets</t>
  </si>
  <si>
    <t xml:space="preserve">No duplicated IDs.</t>
  </si>
  <si>
    <t xml:space="preserve">Q02</t>
  </si>
  <si>
    <t xml:space="preserve">Observations without Source_URL</t>
  </si>
  <si>
    <t xml:space="preserve">Every row carries a source.</t>
  </si>
  <si>
    <t xml:space="preserve">Q03</t>
  </si>
  <si>
    <t xml:space="preserve">Rows with a numeric Value but status Unavailable</t>
  </si>
  <si>
    <t xml:space="preserve">Unavailable rows are blank, not zero.</t>
  </si>
  <si>
    <t xml:space="preserve">Q04</t>
  </si>
  <si>
    <t xml:space="preserve">Unavailable rows (documented gaps)</t>
  </si>
  <si>
    <t xml:space="preserve">info</t>
  </si>
  <si>
    <t xml:space="preserve">Info</t>
  </si>
  <si>
    <t xml:space="preserve">Group EBITDA, operating profit, net profit, 2026 FX average, Sep-2026 CPI, etc.</t>
  </si>
  <si>
    <t xml:space="preserve">Q05</t>
  </si>
  <si>
    <t xml:space="preserve">Targets mixed with actuals: KPI rows using a target ID as actual input</t>
  </si>
  <si>
    <t xml:space="preserve">KPIs K13-K17 and K27 use targets only as targets; reviewed manually.</t>
  </si>
  <si>
    <t xml:space="preserve">Q06</t>
  </si>
  <si>
    <t xml:space="preserve">FX reconciliation 2023: implied RON/EUR (K32) minus BNR 2023 average</t>
  </si>
  <si>
    <t xml:space="preserve">&lt; 0.30</t>
  </si>
  <si>
    <t xml:space="preserve">Company RON/EUR statements differ from BNR average by a small rounding margin.</t>
  </si>
  <si>
    <t xml:space="preserve">Q07</t>
  </si>
  <si>
    <t xml:space="preserve">FX reconciliation 2024: implied RON/EUR (K33) minus BNR 2024 average</t>
  </si>
  <si>
    <t xml:space="preserve">As above.</t>
  </si>
  <si>
    <t xml:space="preserve">Q08</t>
  </si>
  <si>
    <t xml:space="preserve">Reported +13% (FY2019) vs calculated growth K01 (pp difference)</t>
  </si>
  <si>
    <t xml:space="preserve">&lt; 1.0</t>
  </si>
  <si>
    <t xml:space="preserve">Reported and recomputed growth reconcile.</t>
  </si>
  <si>
    <t xml:space="preserve">Q09</t>
  </si>
  <si>
    <t xml:space="preserve">Reported existing-brand growth +10% (FY2025) vs K03 (pp difference)</t>
  </si>
  <si>
    <t xml:space="preserve">Company's 10% is rounded from 10.3%.</t>
  </si>
  <si>
    <t xml:space="preserve">Q10</t>
  </si>
  <si>
    <t xml:space="preserve">Revenue target EUR vs RON ratio (K16) vs BNR 2025 average</t>
  </si>
  <si>
    <t xml:space="preserve">The RON target (500) and the EUR target (100) are consistent with each other to within rounding.</t>
  </si>
  <si>
    <t xml:space="preserve">Q11</t>
  </si>
  <si>
    <t xml:space="preserve">KPI result cells showing an error value</t>
  </si>
  <si>
    <t xml:space="preserve">No formula errors (IFERROR wraps return 'n/a').</t>
  </si>
  <si>
    <t xml:space="preserve">Q12</t>
  </si>
  <si>
    <t xml:space="preserve">KPI result cells showing 'n/a' (excluding the two Unavailable KPIs)</t>
  </si>
  <si>
    <t xml:space="preserve">Every computable KPI resolves.</t>
  </si>
  <si>
    <t xml:space="preserve">Conflict log: conflicting figures and which to use</t>
  </si>
  <si>
    <t xml:space="preserve">Conflict_ID</t>
  </si>
  <si>
    <t xml:space="preserve">Topic</t>
  </si>
  <si>
    <t xml:space="preserve">Figures_in_conflict</t>
  </si>
  <si>
    <t xml:space="preserve">Observation_IDs</t>
  </si>
  <si>
    <t xml:space="preserve">Use_for_analysis</t>
  </si>
  <si>
    <t xml:space="preserve">Reason</t>
  </si>
  <si>
    <t xml:space="preserve">X01</t>
  </si>
  <si>
    <t xml:space="preserve">FY2018 revenue</t>
  </si>
  <si>
    <t xml:space="preserve">EUR 37.7M (interview) vs RON 165M (2019 release comparison base)</t>
  </si>
  <si>
    <t xml:space="preserve">CF-001, CF-002</t>
  </si>
  <si>
    <t xml:space="preserve">RON 165M</t>
  </si>
  <si>
    <t xml:space="preserve">Implied 4.38 RON/EUR is well below the BNR 2018-2019 range (about 4.65-4.75); the EUR figure may be rounded or on a different basis.</t>
  </si>
  <si>
    <t xml:space="preserve">X02</t>
  </si>
  <si>
    <t xml:space="preserve">FY2023 revenue in EUR</t>
  </si>
  <si>
    <t xml:space="preserve">EUR 55M (Feb 2024 estimate) vs EUR 56.5M (company, Bursa) vs EUR 54.92M (third-party conversion)</t>
  </si>
  <si>
    <t xml:space="preserve">CF-016, CF-018, CF-019</t>
  </si>
  <si>
    <t xml:space="preserve">RON 280M; EUR 56.5M where EUR needed</t>
  </si>
  <si>
    <t xml:space="preserve">Third-party conversion used a wrong-period FX rate (grade D). RON 280M and EUR 56.5M are company statements.</t>
  </si>
  <si>
    <t xml:space="preserve">X03</t>
  </si>
  <si>
    <t xml:space="preserve">FY2024 revenue in EUR</t>
  </si>
  <si>
    <t xml:space="preserve">EUR 68M (company) vs EUR 66.49M (third-party) vs EUR 65M (earlier forecast)</t>
  </si>
  <si>
    <t xml:space="preserve">CF-026, CF-027, CF-022</t>
  </si>
  <si>
    <t xml:space="preserve">RON 339M; EUR 68M</t>
  </si>
  <si>
    <t xml:space="preserve">Forecast and third-party conversion are not actuals.</t>
  </si>
  <si>
    <t xml:space="preserve">X04</t>
  </si>
  <si>
    <t xml:space="preserve">FY2025 revenue</t>
  </si>
  <si>
    <t xml:space="preserve">EUR 90M consolidated vs EUR 75M existing brands</t>
  </si>
  <si>
    <t xml:space="preserve">CF-028, CF-029</t>
  </si>
  <si>
    <t xml:space="preserve">Consolidated for level and target; existing brands for growth</t>
  </si>
  <si>
    <t xml:space="preserve">Different scopes, both company-reported; the difference is acquired revenue.</t>
  </si>
  <si>
    <t xml:space="preserve">X05</t>
  </si>
  <si>
    <t xml:space="preserve">EUR 100M vs 'over RON 500M'</t>
  </si>
  <si>
    <t xml:space="preserve">CF-035, CF-036</t>
  </si>
  <si>
    <t xml:space="preserve">EUR 100M (consolidated)</t>
  </si>
  <si>
    <t xml:space="preserve">Consistent: implied FX about 5.0.</t>
  </si>
  <si>
    <t xml:space="preserve">X06</t>
  </si>
  <si>
    <t xml:space="preserve">Net profit attributed to 'Grupul City Grill'</t>
  </si>
  <si>
    <t xml:space="preserve">RON 49M (ZF ranking chart) vs no company-reported group net profit</t>
  </si>
  <si>
    <t xml:space="preserve">CF-043, CF-046</t>
  </si>
  <si>
    <t xml:space="preserve">Entity behind the ZF figure is not identified; may be a legal entity or another group definition.</t>
  </si>
  <si>
    <t xml:space="preserve">X07</t>
  </si>
  <si>
    <t xml:space="preserve">Industry size</t>
  </si>
  <si>
    <t xml:space="preserve">HORA restaurants &amp; bars RON 32bn vs IMM Club HoReCa EUR 7.8bn vs Bookingham</t>
  </si>
  <si>
    <t xml:space="preserve">RM-004, RM-016</t>
  </si>
  <si>
    <t xml:space="preserve">HORA (filed accounts)</t>
  </si>
  <si>
    <t xml:space="preserve">Market-research series are not compatible with HORA (scope and method differ) and cannot be chained.</t>
  </si>
  <si>
    <t xml:space="preserve">X08</t>
  </si>
  <si>
    <t xml:space="preserve">Location counts</t>
  </si>
  <si>
    <t xml:space="preserve">44 (Oct 2026 profile) vs about 40 (Jul-Aug 2026 trade press) vs 24 restaurants (May 2024)</t>
  </si>
  <si>
    <t xml:space="preserve">OI-029, OI-031, OI-017</t>
  </si>
  <si>
    <t xml:space="preserve">44 (latest, company-profile)</t>
  </si>
  <si>
    <t xml:space="preserve">Different dates and definitions (restaurants only vs all concepts).</t>
  </si>
</sst>
</file>

<file path=xl/styles.xml><?xml version="1.0" encoding="utf-8"?>
<styleSheet xmlns="http://schemas.openxmlformats.org/spreadsheetml/2006/main">
  <numFmts count="5">
    <numFmt numFmtId="164" formatCode="General"/>
    <numFmt numFmtId="165" formatCode="#,##0.00##"/>
    <numFmt numFmtId="166" formatCode="0.0%"/>
    <numFmt numFmtId="167" formatCode="#,##0.00"/>
    <numFmt numFmtId="168" formatCode="0.00"/>
  </numFmts>
  <fonts count="8">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b val="true"/>
      <sz val="10"/>
      <name val="Arial"/>
      <family val="0"/>
      <charset val="1"/>
    </font>
    <font>
      <sz val="10"/>
      <name val="Arial"/>
      <family val="0"/>
      <charset val="1"/>
    </font>
    <font>
      <b val="true"/>
      <sz val="10"/>
      <color rgb="FFFFFFFF"/>
      <name val="Arial"/>
      <family val="0"/>
      <charset val="1"/>
    </font>
  </fonts>
  <fills count="9">
    <fill>
      <patternFill patternType="none"/>
    </fill>
    <fill>
      <patternFill patternType="gray125"/>
    </fill>
    <fill>
      <patternFill patternType="solid">
        <fgColor rgb="FF1F3864"/>
        <bgColor rgb="FF333333"/>
      </patternFill>
    </fill>
    <fill>
      <patternFill patternType="solid">
        <fgColor rgb="FFE2EFDA"/>
        <bgColor rgb="FFDDEBF7"/>
      </patternFill>
    </fill>
    <fill>
      <patternFill patternType="solid">
        <fgColor rgb="FFFFF2CC"/>
        <bgColor rgb="FFFCE4D6"/>
      </patternFill>
    </fill>
    <fill>
      <patternFill patternType="solid">
        <fgColor rgb="FFFCE4D6"/>
        <bgColor rgb="FFFFF2CC"/>
      </patternFill>
    </fill>
    <fill>
      <patternFill patternType="solid">
        <fgColor rgb="FFF8CBAD"/>
        <bgColor rgb="FFFCE4D6"/>
      </patternFill>
    </fill>
    <fill>
      <patternFill patternType="solid">
        <fgColor rgb="FFD9D9D9"/>
        <bgColor rgb="FFDDEBF7"/>
      </patternFill>
    </fill>
    <fill>
      <patternFill patternType="solid">
        <fgColor rgb="FFDDEBF7"/>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general" vertical="top" textRotation="0" wrapText="false" indent="0" shrinkToFit="false"/>
      <protection locked="true" hidden="false"/>
    </xf>
    <xf numFmtId="164" fontId="6" fillId="3" borderId="1" xfId="0" applyFont="true" applyBorder="true" applyAlignment="true" applyProtection="false">
      <alignment horizontal="general" vertical="top" textRotation="0" wrapText="false" indent="0" shrinkToFit="false"/>
      <protection locked="true" hidden="false"/>
    </xf>
    <xf numFmtId="164" fontId="6" fillId="4" borderId="1" xfId="0" applyFont="true" applyBorder="true" applyAlignment="true" applyProtection="false">
      <alignment horizontal="general" vertical="top" textRotation="0" wrapText="false" indent="0" shrinkToFit="false"/>
      <protection locked="true" hidden="false"/>
    </xf>
    <xf numFmtId="164" fontId="6" fillId="5" borderId="1" xfId="0" applyFont="true" applyBorder="true" applyAlignment="true" applyProtection="false">
      <alignment horizontal="general" vertical="top" textRotation="0" wrapText="false" indent="0" shrinkToFit="false"/>
      <protection locked="true" hidden="false"/>
    </xf>
    <xf numFmtId="164" fontId="6" fillId="6" borderId="1" xfId="0" applyFont="true" applyBorder="true" applyAlignment="true" applyProtection="false">
      <alignment horizontal="general" vertical="top" textRotation="0" wrapText="false" indent="0" shrinkToFit="false"/>
      <protection locked="true" hidden="false"/>
    </xf>
    <xf numFmtId="164" fontId="6" fillId="7" borderId="1" xfId="0" applyFont="true" applyBorder="true" applyAlignment="true" applyProtection="false">
      <alignment horizontal="general" vertical="top" textRotation="0" wrapText="false" indent="0" shrinkToFit="false"/>
      <protection locked="true" hidden="false"/>
    </xf>
    <xf numFmtId="164" fontId="6" fillId="8" borderId="1" xfId="0" applyFont="true" applyBorder="true" applyAlignment="true" applyProtection="false">
      <alignment horizontal="general" vertical="top"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6" fontId="5" fillId="8" borderId="1" xfId="0" applyFont="true" applyBorder="true" applyAlignment="true" applyProtection="false">
      <alignment horizontal="general" vertical="top" textRotation="0" wrapText="false" indent="0" shrinkToFit="false"/>
      <protection locked="true" hidden="false"/>
    </xf>
    <xf numFmtId="167" fontId="5" fillId="8"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6" fontId="5" fillId="6" borderId="1" xfId="0" applyFont="true" applyBorder="true" applyAlignment="true" applyProtection="false">
      <alignment horizontal="general" vertical="top" textRotation="0" wrapText="false" indent="0" shrinkToFit="false"/>
      <protection locked="true" hidden="false"/>
    </xf>
    <xf numFmtId="164" fontId="5" fillId="7" borderId="1" xfId="0" applyFont="true" applyBorder="true" applyAlignment="true" applyProtection="false">
      <alignment horizontal="general" vertical="top" textRotation="0" wrapText="false" indent="0" shrinkToFit="false"/>
      <protection locked="true" hidden="false"/>
    </xf>
    <xf numFmtId="168" fontId="6"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D9D9D9"/>
          <bgColor rgb="FF000000"/>
        </patternFill>
      </fill>
    </dxf>
    <dxf>
      <fill>
        <patternFill patternType="solid">
          <fgColor rgb="FFE2EFDA"/>
          <bgColor rgb="FF000000"/>
        </patternFill>
      </fill>
    </dxf>
    <dxf>
      <fill>
        <patternFill patternType="solid">
          <fgColor rgb="FFF8CBAD"/>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DDEBF7"/>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CE4D6"/>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30"/>
  </cols>
  <sheetData>
    <row r="1" customFormat="false" ht="17.35" hidden="false" customHeight="false" outlineLevel="0" collapsed="false">
      <c r="A1" s="1" t="s">
        <v>0</v>
      </c>
    </row>
    <row r="3" customFormat="false" ht="15" hidden="false" customHeight="false" outlineLevel="0" collapsed="false">
      <c r="A3" s="2" t="s">
        <v>1</v>
      </c>
      <c r="B3" s="3" t="s">
        <v>2</v>
      </c>
    </row>
    <row r="4" customFormat="false" ht="15" hidden="false" customHeight="false" outlineLevel="0" collapsed="false">
      <c r="A4" s="2" t="s">
        <v>3</v>
      </c>
      <c r="B4" s="3" t="s">
        <v>4</v>
      </c>
    </row>
    <row r="5" customFormat="false" ht="23.85" hidden="false" customHeight="false" outlineLevel="0" collapsed="false">
      <c r="A5" s="2" t="s">
        <v>5</v>
      </c>
      <c r="B5" s="3" t="s">
        <v>6</v>
      </c>
    </row>
    <row r="6" customFormat="false" ht="15" hidden="false" customHeight="false" outlineLevel="0" collapsed="false">
      <c r="A6" s="2" t="s">
        <v>7</v>
      </c>
      <c r="B6" s="3" t="s">
        <v>8</v>
      </c>
    </row>
    <row r="7" customFormat="false" ht="23.85" hidden="false" customHeight="false" outlineLevel="0" collapsed="false">
      <c r="A7" s="2" t="s">
        <v>9</v>
      </c>
      <c r="B7" s="3" t="s">
        <v>10</v>
      </c>
    </row>
    <row r="8" customFormat="false" ht="23.85" hidden="false" customHeight="false" outlineLevel="0" collapsed="false">
      <c r="A8" s="2" t="s">
        <v>11</v>
      </c>
      <c r="B8" s="3" t="s">
        <v>12</v>
      </c>
    </row>
    <row r="9" customFormat="false" ht="15" hidden="false" customHeight="false" outlineLevel="0" collapsed="false">
      <c r="A9" s="2" t="s">
        <v>13</v>
      </c>
      <c r="B9" s="3" t="s">
        <v>14</v>
      </c>
    </row>
    <row r="10" customFormat="false" ht="23.85" hidden="false" customHeight="false" outlineLevel="0" collapsed="false">
      <c r="A10" s="2" t="s">
        <v>15</v>
      </c>
      <c r="B10" s="3" t="s">
        <v>16</v>
      </c>
    </row>
    <row r="11" customFormat="false" ht="23.85" hidden="false" customHeight="false" outlineLevel="0" collapsed="false">
      <c r="A11" s="2" t="s">
        <v>17</v>
      </c>
      <c r="B11" s="3" t="s">
        <v>18</v>
      </c>
    </row>
    <row r="12" customFormat="false" ht="35.05" hidden="false" customHeight="false" outlineLevel="0" collapsed="false">
      <c r="A12" s="2" t="s">
        <v>19</v>
      </c>
      <c r="B12" s="3" t="s">
        <v>20</v>
      </c>
    </row>
    <row r="13" customFormat="false" ht="15" hidden="false" customHeight="false" outlineLevel="0" collapsed="false">
      <c r="A13" s="2" t="s">
        <v>21</v>
      </c>
      <c r="B13" s="3" t="s">
        <v>22</v>
      </c>
    </row>
    <row r="14" customFormat="false" ht="23.85" hidden="false" customHeight="false" outlineLevel="0" collapsed="false">
      <c r="A14" s="2" t="s">
        <v>23</v>
      </c>
      <c r="B14" s="3" t="s">
        <v>24</v>
      </c>
    </row>
    <row r="15" customFormat="false" ht="15" hidden="false" customHeight="false" outlineLevel="0" collapsed="false">
      <c r="A15" s="2" t="s">
        <v>25</v>
      </c>
      <c r="B15" s="3" t="s">
        <v>26</v>
      </c>
    </row>
    <row r="16" customFormat="false" ht="15" hidden="false" customHeight="false" outlineLevel="0" collapsed="false">
      <c r="A16" s="2" t="s">
        <v>27</v>
      </c>
      <c r="B16" s="3" t="s">
        <v>28</v>
      </c>
    </row>
    <row r="19" customFormat="false" ht="15" hidden="false" customHeight="false" outlineLevel="0" collapsed="false">
      <c r="A19" s="4" t="s">
        <v>29</v>
      </c>
    </row>
    <row r="20" customFormat="false" ht="15" hidden="false" customHeight="false" outlineLevel="0" collapsed="false">
      <c r="A20" s="5" t="s">
        <v>30</v>
      </c>
    </row>
    <row r="21" customFormat="false" ht="15" hidden="false" customHeight="false" outlineLevel="0" collapsed="false">
      <c r="A21" s="5" t="s">
        <v>31</v>
      </c>
    </row>
    <row r="22" customFormat="false" ht="15" hidden="false" customHeight="false" outlineLevel="0" collapsed="false">
      <c r="A22" s="5" t="s">
        <v>32</v>
      </c>
    </row>
    <row r="23" customFormat="false" ht="15" hidden="false" customHeight="false" outlineLevel="0" collapsed="false">
      <c r="A23" s="5" t="s">
        <v>33</v>
      </c>
    </row>
    <row r="24" customFormat="false" ht="15" hidden="false" customHeight="false" outlineLevel="0" collapsed="false">
      <c r="A24" s="5" t="s">
        <v>34</v>
      </c>
    </row>
    <row r="25" customFormat="false" ht="15" hidden="false" customHeight="false" outlineLevel="0" collapsed="false">
      <c r="A25" s="5" t="s">
        <v>35</v>
      </c>
    </row>
    <row r="26" customFormat="false" ht="15" hidden="false" customHeight="false" outlineLevel="0" collapsed="false">
      <c r="A26" s="5" t="s">
        <v>36</v>
      </c>
    </row>
    <row r="27" customFormat="false" ht="15" hidden="false" customHeight="false" outlineLevel="0" collapsed="false">
      <c r="A27" s="5" t="s">
        <v>37</v>
      </c>
    </row>
    <row r="28" customFormat="false" ht="15" hidden="false" customHeight="false" outlineLevel="0" collapsed="false">
      <c r="A28" s="5" t="s">
        <v>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6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4"/>
    <col collapsed="false" customWidth="true" hidden="false" outlineLevel="0" max="3" min="3" style="0" width="16"/>
    <col collapsed="false" customWidth="true" hidden="false" outlineLevel="0" max="4" min="4" style="0" width="12"/>
    <col collapsed="false" customWidth="true" hidden="false" outlineLevel="0" max="5" min="5" style="0" width="16"/>
    <col collapsed="false" customWidth="true" hidden="false" outlineLevel="0" max="6" min="6" style="0" width="9"/>
    <col collapsed="false" customWidth="true" hidden="false" outlineLevel="0" max="7" min="7" style="0" width="11"/>
    <col collapsed="false" customWidth="true" hidden="false" outlineLevel="0" max="8" min="8" style="0" width="18"/>
    <col collapsed="false" customWidth="true" hidden="false" outlineLevel="0" max="9" min="9" style="0" width="34"/>
    <col collapsed="false" customWidth="true" hidden="false" outlineLevel="0" max="10" min="10" style="0" width="16"/>
    <col collapsed="false" customWidth="true" hidden="false" outlineLevel="0" max="11" min="11" style="0" width="48"/>
    <col collapsed="false" customWidth="true" hidden="false" outlineLevel="0" max="12" min="12" style="0" width="46"/>
    <col collapsed="false" customWidth="true" hidden="false" outlineLevel="0" max="13" min="13" style="0" width="28"/>
    <col collapsed="false" customWidth="true" hidden="false" outlineLevel="0" max="14" min="14" style="0" width="16"/>
    <col collapsed="false" customWidth="true" hidden="false" outlineLevel="0" max="15" min="15" style="0" width="12"/>
    <col collapsed="false" customWidth="true" hidden="false" outlineLevel="0" max="16" min="16" style="0" width="50"/>
    <col collapsed="false" customWidth="true" hidden="false" outlineLevel="0" max="17" min="17" style="0" width="10"/>
    <col collapsed="false" customWidth="true" hidden="false" outlineLevel="0" max="18" min="18" style="0" width="56"/>
    <col collapsed="false" customWidth="true" hidden="false" outlineLevel="0" max="19" min="19" style="0" width="9"/>
  </cols>
  <sheetData>
    <row r="1" customFormat="false" ht="30" hidden="false" customHeight="true" outlineLevel="0" collapsed="false">
      <c r="A1" s="6" t="s">
        <v>39</v>
      </c>
      <c r="B1" s="6" t="s">
        <v>40</v>
      </c>
      <c r="C1" s="6" t="s">
        <v>41</v>
      </c>
      <c r="D1" s="6" t="s">
        <v>42</v>
      </c>
      <c r="E1" s="6" t="s">
        <v>43</v>
      </c>
      <c r="F1" s="6" t="s">
        <v>44</v>
      </c>
      <c r="G1" s="6" t="s">
        <v>45</v>
      </c>
      <c r="H1" s="6" t="s">
        <v>46</v>
      </c>
      <c r="I1" s="6" t="s">
        <v>47</v>
      </c>
      <c r="J1" s="6" t="s">
        <v>48</v>
      </c>
      <c r="K1" s="6" t="s">
        <v>49</v>
      </c>
      <c r="L1" s="6" t="s">
        <v>50</v>
      </c>
      <c r="M1" s="6" t="s">
        <v>51</v>
      </c>
      <c r="N1" s="6" t="s">
        <v>52</v>
      </c>
      <c r="O1" s="6" t="s">
        <v>53</v>
      </c>
      <c r="P1" s="6" t="s">
        <v>54</v>
      </c>
      <c r="Q1" s="6" t="s">
        <v>55</v>
      </c>
      <c r="R1" s="6" t="s">
        <v>56</v>
      </c>
      <c r="S1" s="6" t="s">
        <v>57</v>
      </c>
    </row>
    <row r="2" customFormat="false" ht="35.05" hidden="false" customHeight="false" outlineLevel="0" collapsed="false">
      <c r="A2" s="7" t="s">
        <v>58</v>
      </c>
      <c r="B2" s="8" t="s">
        <v>59</v>
      </c>
      <c r="C2" s="7" t="s">
        <v>60</v>
      </c>
      <c r="D2" s="9" t="n">
        <v>37.7</v>
      </c>
      <c r="E2" s="7" t="s">
        <v>61</v>
      </c>
      <c r="F2" s="7" t="s">
        <v>62</v>
      </c>
      <c r="G2" s="7" t="s">
        <v>63</v>
      </c>
      <c r="H2" s="7" t="s">
        <v>64</v>
      </c>
      <c r="I2" s="8" t="s">
        <v>65</v>
      </c>
      <c r="J2" s="10" t="s">
        <v>66</v>
      </c>
      <c r="K2" s="8" t="s">
        <v>67</v>
      </c>
      <c r="L2" s="8" t="s">
        <v>68</v>
      </c>
      <c r="M2" s="7" t="s">
        <v>69</v>
      </c>
      <c r="N2" s="7" t="s">
        <v>70</v>
      </c>
      <c r="O2" s="7" t="s">
        <v>71</v>
      </c>
      <c r="P2" s="8" t="s">
        <v>72</v>
      </c>
      <c r="Q2" s="7" t="s">
        <v>73</v>
      </c>
      <c r="R2" s="8" t="s">
        <v>74</v>
      </c>
      <c r="S2" s="7" t="s">
        <v>75</v>
      </c>
    </row>
    <row r="3" customFormat="false" ht="23.85" hidden="false" customHeight="false" outlineLevel="0" collapsed="false">
      <c r="A3" s="7" t="s">
        <v>76</v>
      </c>
      <c r="B3" s="8" t="s">
        <v>77</v>
      </c>
      <c r="C3" s="7" t="s">
        <v>60</v>
      </c>
      <c r="D3" s="9" t="n">
        <v>165</v>
      </c>
      <c r="E3" s="7" t="s">
        <v>78</v>
      </c>
      <c r="F3" s="7" t="s">
        <v>79</v>
      </c>
      <c r="G3" s="7" t="s">
        <v>63</v>
      </c>
      <c r="H3" s="7" t="s">
        <v>64</v>
      </c>
      <c r="I3" s="8" t="s">
        <v>80</v>
      </c>
      <c r="J3" s="10" t="s">
        <v>66</v>
      </c>
      <c r="K3" s="8" t="s">
        <v>81</v>
      </c>
      <c r="L3" s="8" t="s">
        <v>82</v>
      </c>
      <c r="M3" s="7" t="s">
        <v>83</v>
      </c>
      <c r="N3" s="7" t="s">
        <v>84</v>
      </c>
      <c r="O3" s="7" t="s">
        <v>71</v>
      </c>
      <c r="P3" s="8" t="s">
        <v>85</v>
      </c>
      <c r="Q3" s="7" t="s">
        <v>73</v>
      </c>
      <c r="R3" s="8" t="s">
        <v>86</v>
      </c>
      <c r="S3" s="7" t="s">
        <v>87</v>
      </c>
    </row>
    <row r="4" customFormat="false" ht="23.85" hidden="false" customHeight="false" outlineLevel="0" collapsed="false">
      <c r="A4" s="7" t="s">
        <v>88</v>
      </c>
      <c r="B4" s="8" t="s">
        <v>77</v>
      </c>
      <c r="C4" s="7" t="s">
        <v>89</v>
      </c>
      <c r="D4" s="9" t="n">
        <v>187</v>
      </c>
      <c r="E4" s="7" t="s">
        <v>78</v>
      </c>
      <c r="F4" s="7" t="s">
        <v>79</v>
      </c>
      <c r="G4" s="7" t="s">
        <v>63</v>
      </c>
      <c r="H4" s="7" t="s">
        <v>64</v>
      </c>
      <c r="I4" s="8" t="s">
        <v>80</v>
      </c>
      <c r="J4" s="10" t="s">
        <v>66</v>
      </c>
      <c r="K4" s="8" t="s">
        <v>81</v>
      </c>
      <c r="L4" s="8" t="s">
        <v>82</v>
      </c>
      <c r="M4" s="7" t="s">
        <v>83</v>
      </c>
      <c r="N4" s="7" t="s">
        <v>84</v>
      </c>
      <c r="O4" s="7" t="s">
        <v>71</v>
      </c>
      <c r="P4" s="8" t="s">
        <v>90</v>
      </c>
      <c r="Q4" s="7" t="s">
        <v>73</v>
      </c>
      <c r="R4" s="8" t="s">
        <v>91</v>
      </c>
      <c r="S4" s="7" t="s">
        <v>87</v>
      </c>
    </row>
    <row r="5" customFormat="false" ht="35.05" hidden="false" customHeight="false" outlineLevel="0" collapsed="false">
      <c r="A5" s="7" t="s">
        <v>92</v>
      </c>
      <c r="B5" s="8" t="s">
        <v>93</v>
      </c>
      <c r="C5" s="7" t="s">
        <v>89</v>
      </c>
      <c r="D5" s="9" t="n">
        <v>42</v>
      </c>
      <c r="E5" s="7" t="s">
        <v>61</v>
      </c>
      <c r="F5" s="7" t="s">
        <v>62</v>
      </c>
      <c r="G5" s="7" t="s">
        <v>63</v>
      </c>
      <c r="H5" s="7" t="s">
        <v>64</v>
      </c>
      <c r="I5" s="8" t="s">
        <v>80</v>
      </c>
      <c r="J5" s="11" t="s">
        <v>94</v>
      </c>
      <c r="K5" s="8" t="s">
        <v>95</v>
      </c>
      <c r="L5" s="8" t="s">
        <v>96</v>
      </c>
      <c r="M5" s="7" t="s">
        <v>97</v>
      </c>
      <c r="N5" s="7" t="s">
        <v>98</v>
      </c>
      <c r="O5" s="7" t="s">
        <v>71</v>
      </c>
      <c r="P5" s="8" t="s">
        <v>99</v>
      </c>
      <c r="Q5" s="7" t="s">
        <v>100</v>
      </c>
      <c r="R5" s="8" t="s">
        <v>101</v>
      </c>
      <c r="S5" s="7" t="s">
        <v>102</v>
      </c>
    </row>
    <row r="6" customFormat="false" ht="23.85" hidden="false" customHeight="false" outlineLevel="0" collapsed="false">
      <c r="A6" s="7" t="s">
        <v>103</v>
      </c>
      <c r="B6" s="8" t="s">
        <v>104</v>
      </c>
      <c r="C6" s="7" t="s">
        <v>105</v>
      </c>
      <c r="D6" s="9" t="n">
        <v>90</v>
      </c>
      <c r="E6" s="7" t="s">
        <v>78</v>
      </c>
      <c r="F6" s="7" t="s">
        <v>79</v>
      </c>
      <c r="G6" s="7" t="s">
        <v>63</v>
      </c>
      <c r="H6" s="7" t="s">
        <v>64</v>
      </c>
      <c r="I6" s="8" t="s">
        <v>80</v>
      </c>
      <c r="J6" s="10" t="s">
        <v>66</v>
      </c>
      <c r="K6" s="8" t="s">
        <v>106</v>
      </c>
      <c r="L6" s="8" t="s">
        <v>107</v>
      </c>
      <c r="M6" s="7" t="s">
        <v>108</v>
      </c>
      <c r="N6" s="7" t="s">
        <v>109</v>
      </c>
      <c r="O6" s="7" t="s">
        <v>71</v>
      </c>
      <c r="P6" s="8" t="s">
        <v>110</v>
      </c>
      <c r="Q6" s="7" t="s">
        <v>73</v>
      </c>
      <c r="R6" s="8"/>
      <c r="S6" s="7" t="s">
        <v>111</v>
      </c>
    </row>
    <row r="7" customFormat="false" ht="23.85" hidden="false" customHeight="false" outlineLevel="0" collapsed="false">
      <c r="A7" s="7" t="s">
        <v>112</v>
      </c>
      <c r="B7" s="8" t="s">
        <v>113</v>
      </c>
      <c r="C7" s="7" t="s">
        <v>105</v>
      </c>
      <c r="D7" s="9" t="n">
        <v>19</v>
      </c>
      <c r="E7" s="7" t="s">
        <v>61</v>
      </c>
      <c r="F7" s="7" t="s">
        <v>62</v>
      </c>
      <c r="G7" s="7" t="s">
        <v>63</v>
      </c>
      <c r="H7" s="7" t="s">
        <v>64</v>
      </c>
      <c r="I7" s="8" t="s">
        <v>80</v>
      </c>
      <c r="J7" s="10" t="s">
        <v>66</v>
      </c>
      <c r="K7" s="8" t="s">
        <v>106</v>
      </c>
      <c r="L7" s="8" t="s">
        <v>107</v>
      </c>
      <c r="M7" s="7" t="s">
        <v>108</v>
      </c>
      <c r="N7" s="7" t="s">
        <v>109</v>
      </c>
      <c r="O7" s="7" t="s">
        <v>71</v>
      </c>
      <c r="P7" s="8" t="s">
        <v>114</v>
      </c>
      <c r="Q7" s="7" t="s">
        <v>73</v>
      </c>
      <c r="R7" s="8"/>
      <c r="S7" s="7" t="s">
        <v>111</v>
      </c>
    </row>
    <row r="8" customFormat="false" ht="35.05" hidden="false" customHeight="false" outlineLevel="0" collapsed="false">
      <c r="A8" s="7" t="s">
        <v>115</v>
      </c>
      <c r="B8" s="8" t="s">
        <v>116</v>
      </c>
      <c r="C8" s="7" t="s">
        <v>117</v>
      </c>
      <c r="D8" s="9" t="n">
        <v>148</v>
      </c>
      <c r="E8" s="7" t="s">
        <v>78</v>
      </c>
      <c r="F8" s="7" t="s">
        <v>79</v>
      </c>
      <c r="G8" s="7" t="s">
        <v>63</v>
      </c>
      <c r="H8" s="7" t="s">
        <v>64</v>
      </c>
      <c r="I8" s="8" t="s">
        <v>80</v>
      </c>
      <c r="J8" s="10" t="s">
        <v>66</v>
      </c>
      <c r="K8" s="8" t="s">
        <v>118</v>
      </c>
      <c r="L8" s="8" t="s">
        <v>119</v>
      </c>
      <c r="M8" s="7" t="s">
        <v>120</v>
      </c>
      <c r="N8" s="7" t="s">
        <v>121</v>
      </c>
      <c r="O8" s="7" t="s">
        <v>71</v>
      </c>
      <c r="P8" s="8" t="s">
        <v>122</v>
      </c>
      <c r="Q8" s="7" t="s">
        <v>100</v>
      </c>
      <c r="R8" s="8" t="s">
        <v>123</v>
      </c>
      <c r="S8" s="7" t="s">
        <v>124</v>
      </c>
    </row>
    <row r="9" customFormat="false" ht="23.85" hidden="false" customHeight="false" outlineLevel="0" collapsed="false">
      <c r="A9" s="7" t="s">
        <v>125</v>
      </c>
      <c r="B9" s="8" t="s">
        <v>126</v>
      </c>
      <c r="C9" s="7" t="s">
        <v>89</v>
      </c>
      <c r="D9" s="9" t="n">
        <v>13</v>
      </c>
      <c r="E9" s="7" t="s">
        <v>127</v>
      </c>
      <c r="F9" s="7" t="s">
        <v>79</v>
      </c>
      <c r="G9" s="7" t="s">
        <v>63</v>
      </c>
      <c r="H9" s="7" t="s">
        <v>64</v>
      </c>
      <c r="I9" s="8" t="s">
        <v>80</v>
      </c>
      <c r="J9" s="10" t="s">
        <v>66</v>
      </c>
      <c r="K9" s="8" t="s">
        <v>81</v>
      </c>
      <c r="L9" s="8" t="s">
        <v>82</v>
      </c>
      <c r="M9" s="7" t="s">
        <v>83</v>
      </c>
      <c r="N9" s="7" t="s">
        <v>84</v>
      </c>
      <c r="O9" s="7" t="s">
        <v>71</v>
      </c>
      <c r="P9" s="8" t="s">
        <v>128</v>
      </c>
      <c r="Q9" s="7" t="s">
        <v>73</v>
      </c>
      <c r="R9" s="8"/>
      <c r="S9" s="7" t="s">
        <v>87</v>
      </c>
    </row>
    <row r="10" customFormat="false" ht="46.25" hidden="false" customHeight="false" outlineLevel="0" collapsed="false">
      <c r="A10" s="7" t="s">
        <v>129</v>
      </c>
      <c r="B10" s="8" t="s">
        <v>130</v>
      </c>
      <c r="C10" s="7" t="s">
        <v>131</v>
      </c>
      <c r="D10" s="9" t="n">
        <v>12</v>
      </c>
      <c r="E10" s="7" t="s">
        <v>127</v>
      </c>
      <c r="F10" s="7" t="s">
        <v>79</v>
      </c>
      <c r="G10" s="7" t="s">
        <v>63</v>
      </c>
      <c r="H10" s="7" t="s">
        <v>64</v>
      </c>
      <c r="I10" s="8" t="s">
        <v>80</v>
      </c>
      <c r="J10" s="11" t="s">
        <v>94</v>
      </c>
      <c r="K10" s="8" t="s">
        <v>132</v>
      </c>
      <c r="L10" s="8" t="s">
        <v>133</v>
      </c>
      <c r="M10" s="7" t="s">
        <v>134</v>
      </c>
      <c r="N10" s="7" t="s">
        <v>135</v>
      </c>
      <c r="O10" s="7" t="s">
        <v>71</v>
      </c>
      <c r="P10" s="8" t="s">
        <v>136</v>
      </c>
      <c r="Q10" s="7" t="s">
        <v>73</v>
      </c>
      <c r="R10" s="8" t="s">
        <v>137</v>
      </c>
      <c r="S10" s="7" t="s">
        <v>138</v>
      </c>
    </row>
    <row r="11" customFormat="false" ht="35.05" hidden="false" customHeight="false" outlineLevel="0" collapsed="false">
      <c r="A11" s="7" t="s">
        <v>139</v>
      </c>
      <c r="B11" s="8" t="s">
        <v>140</v>
      </c>
      <c r="C11" s="7" t="s">
        <v>131</v>
      </c>
      <c r="D11" s="9" t="n">
        <v>200</v>
      </c>
      <c r="E11" s="7" t="s">
        <v>78</v>
      </c>
      <c r="F11" s="7" t="s">
        <v>79</v>
      </c>
      <c r="G11" s="7" t="s">
        <v>63</v>
      </c>
      <c r="H11" s="7" t="s">
        <v>64</v>
      </c>
      <c r="I11" s="8" t="s">
        <v>80</v>
      </c>
      <c r="J11" s="11" t="s">
        <v>94</v>
      </c>
      <c r="K11" s="8" t="s">
        <v>118</v>
      </c>
      <c r="L11" s="8" t="s">
        <v>119</v>
      </c>
      <c r="M11" s="7" t="s">
        <v>120</v>
      </c>
      <c r="N11" s="7" t="s">
        <v>121</v>
      </c>
      <c r="O11" s="7" t="s">
        <v>71</v>
      </c>
      <c r="P11" s="8" t="s">
        <v>141</v>
      </c>
      <c r="Q11" s="7" t="s">
        <v>100</v>
      </c>
      <c r="R11" s="8" t="s">
        <v>142</v>
      </c>
      <c r="S11" s="7" t="s">
        <v>124</v>
      </c>
    </row>
    <row r="12" customFormat="false" ht="23.85" hidden="false" customHeight="false" outlineLevel="0" collapsed="false">
      <c r="A12" s="7" t="s">
        <v>143</v>
      </c>
      <c r="B12" s="8" t="s">
        <v>144</v>
      </c>
      <c r="C12" s="7" t="s">
        <v>131</v>
      </c>
      <c r="D12" s="9" t="n">
        <v>16</v>
      </c>
      <c r="E12" s="7" t="s">
        <v>61</v>
      </c>
      <c r="F12" s="7" t="s">
        <v>62</v>
      </c>
      <c r="G12" s="7" t="s">
        <v>63</v>
      </c>
      <c r="H12" s="7" t="s">
        <v>64</v>
      </c>
      <c r="I12" s="8" t="s">
        <v>145</v>
      </c>
      <c r="J12" s="12" t="s">
        <v>146</v>
      </c>
      <c r="K12" s="8" t="s">
        <v>147</v>
      </c>
      <c r="L12" s="8" t="s">
        <v>148</v>
      </c>
      <c r="M12" s="7" t="s">
        <v>149</v>
      </c>
      <c r="N12" s="7" t="s">
        <v>150</v>
      </c>
      <c r="O12" s="7" t="s">
        <v>71</v>
      </c>
      <c r="P12" s="8" t="s">
        <v>151</v>
      </c>
      <c r="Q12" s="7" t="s">
        <v>100</v>
      </c>
      <c r="R12" s="8" t="s">
        <v>152</v>
      </c>
      <c r="S12" s="7" t="s">
        <v>153</v>
      </c>
    </row>
    <row r="13" customFormat="false" ht="23.85" hidden="false" customHeight="false" outlineLevel="0" collapsed="false">
      <c r="A13" s="7" t="s">
        <v>154</v>
      </c>
      <c r="B13" s="8" t="s">
        <v>144</v>
      </c>
      <c r="C13" s="7" t="s">
        <v>155</v>
      </c>
      <c r="D13" s="9" t="n">
        <v>25</v>
      </c>
      <c r="E13" s="7" t="s">
        <v>61</v>
      </c>
      <c r="F13" s="7" t="s">
        <v>62</v>
      </c>
      <c r="G13" s="7" t="s">
        <v>63</v>
      </c>
      <c r="H13" s="7" t="s">
        <v>64</v>
      </c>
      <c r="I13" s="8" t="s">
        <v>145</v>
      </c>
      <c r="J13" s="12" t="s">
        <v>146</v>
      </c>
      <c r="K13" s="8" t="s">
        <v>147</v>
      </c>
      <c r="L13" s="8" t="s">
        <v>148</v>
      </c>
      <c r="M13" s="7" t="s">
        <v>149</v>
      </c>
      <c r="N13" s="7" t="s">
        <v>150</v>
      </c>
      <c r="O13" s="7" t="s">
        <v>71</v>
      </c>
      <c r="P13" s="8" t="s">
        <v>156</v>
      </c>
      <c r="Q13" s="7" t="s">
        <v>100</v>
      </c>
      <c r="R13" s="8" t="s">
        <v>157</v>
      </c>
      <c r="S13" s="7" t="s">
        <v>153</v>
      </c>
    </row>
    <row r="14" customFormat="false" ht="35.05" hidden="false" customHeight="false" outlineLevel="0" collapsed="false">
      <c r="A14" s="7" t="s">
        <v>158</v>
      </c>
      <c r="B14" s="8" t="s">
        <v>159</v>
      </c>
      <c r="C14" s="7" t="s">
        <v>160</v>
      </c>
      <c r="D14" s="9" t="n">
        <v>42</v>
      </c>
      <c r="E14" s="7" t="s">
        <v>61</v>
      </c>
      <c r="F14" s="7" t="s">
        <v>62</v>
      </c>
      <c r="G14" s="7" t="s">
        <v>63</v>
      </c>
      <c r="H14" s="7" t="s">
        <v>64</v>
      </c>
      <c r="I14" s="8" t="s">
        <v>80</v>
      </c>
      <c r="J14" s="12" t="s">
        <v>146</v>
      </c>
      <c r="K14" s="8" t="s">
        <v>118</v>
      </c>
      <c r="L14" s="8" t="s">
        <v>119</v>
      </c>
      <c r="M14" s="7" t="s">
        <v>120</v>
      </c>
      <c r="N14" s="7" t="s">
        <v>121</v>
      </c>
      <c r="O14" s="7" t="s">
        <v>71</v>
      </c>
      <c r="P14" s="8" t="s">
        <v>161</v>
      </c>
      <c r="Q14" s="7" t="s">
        <v>100</v>
      </c>
      <c r="R14" s="8" t="s">
        <v>162</v>
      </c>
      <c r="S14" s="7" t="s">
        <v>124</v>
      </c>
    </row>
    <row r="15" customFormat="false" ht="23.85" hidden="false" customHeight="false" outlineLevel="0" collapsed="false">
      <c r="A15" s="7" t="s">
        <v>163</v>
      </c>
      <c r="B15" s="8" t="s">
        <v>144</v>
      </c>
      <c r="C15" s="7" t="s">
        <v>160</v>
      </c>
      <c r="D15" s="9" t="n">
        <v>44</v>
      </c>
      <c r="E15" s="7" t="s">
        <v>61</v>
      </c>
      <c r="F15" s="7" t="s">
        <v>62</v>
      </c>
      <c r="G15" s="7" t="s">
        <v>63</v>
      </c>
      <c r="H15" s="7" t="s">
        <v>64</v>
      </c>
      <c r="I15" s="8" t="s">
        <v>145</v>
      </c>
      <c r="J15" s="12" t="s">
        <v>146</v>
      </c>
      <c r="K15" s="8" t="s">
        <v>147</v>
      </c>
      <c r="L15" s="8" t="s">
        <v>148</v>
      </c>
      <c r="M15" s="7" t="s">
        <v>149</v>
      </c>
      <c r="N15" s="7" t="s">
        <v>150</v>
      </c>
      <c r="O15" s="7" t="s">
        <v>71</v>
      </c>
      <c r="P15" s="8" t="s">
        <v>164</v>
      </c>
      <c r="Q15" s="7" t="s">
        <v>100</v>
      </c>
      <c r="R15" s="8" t="s">
        <v>165</v>
      </c>
      <c r="S15" s="7" t="s">
        <v>153</v>
      </c>
    </row>
    <row r="16" customFormat="false" ht="23.85" hidden="false" customHeight="false" outlineLevel="0" collapsed="false">
      <c r="A16" s="7" t="s">
        <v>166</v>
      </c>
      <c r="B16" s="8" t="s">
        <v>159</v>
      </c>
      <c r="C16" s="7" t="s">
        <v>167</v>
      </c>
      <c r="D16" s="9" t="n">
        <v>52</v>
      </c>
      <c r="E16" s="7" t="s">
        <v>61</v>
      </c>
      <c r="F16" s="7" t="s">
        <v>62</v>
      </c>
      <c r="G16" s="7" t="s">
        <v>63</v>
      </c>
      <c r="H16" s="7" t="s">
        <v>64</v>
      </c>
      <c r="I16" s="8" t="s">
        <v>145</v>
      </c>
      <c r="J16" s="12" t="s">
        <v>146</v>
      </c>
      <c r="K16" s="8" t="s">
        <v>147</v>
      </c>
      <c r="L16" s="8" t="s">
        <v>148</v>
      </c>
      <c r="M16" s="7" t="s">
        <v>149</v>
      </c>
      <c r="N16" s="7" t="s">
        <v>150</v>
      </c>
      <c r="O16" s="7" t="s">
        <v>71</v>
      </c>
      <c r="P16" s="8" t="s">
        <v>168</v>
      </c>
      <c r="Q16" s="7" t="s">
        <v>100</v>
      </c>
      <c r="R16" s="8" t="s">
        <v>169</v>
      </c>
      <c r="S16" s="7" t="s">
        <v>153</v>
      </c>
    </row>
    <row r="17" customFormat="false" ht="23.85" hidden="false" customHeight="false" outlineLevel="0" collapsed="false">
      <c r="A17" s="7" t="s">
        <v>170</v>
      </c>
      <c r="B17" s="8" t="s">
        <v>59</v>
      </c>
      <c r="C17" s="7" t="s">
        <v>167</v>
      </c>
      <c r="D17" s="9" t="n">
        <v>55</v>
      </c>
      <c r="E17" s="7" t="s">
        <v>61</v>
      </c>
      <c r="F17" s="7" t="s">
        <v>62</v>
      </c>
      <c r="G17" s="7" t="s">
        <v>63</v>
      </c>
      <c r="H17" s="7" t="s">
        <v>64</v>
      </c>
      <c r="I17" s="8" t="s">
        <v>80</v>
      </c>
      <c r="J17" s="10" t="s">
        <v>66</v>
      </c>
      <c r="K17" s="8" t="s">
        <v>171</v>
      </c>
      <c r="L17" s="8" t="s">
        <v>172</v>
      </c>
      <c r="M17" s="7" t="s">
        <v>173</v>
      </c>
      <c r="N17" s="7" t="s">
        <v>174</v>
      </c>
      <c r="O17" s="7" t="s">
        <v>71</v>
      </c>
      <c r="P17" s="8" t="s">
        <v>175</v>
      </c>
      <c r="Q17" s="7" t="s">
        <v>73</v>
      </c>
      <c r="R17" s="8" t="s">
        <v>176</v>
      </c>
      <c r="S17" s="7" t="s">
        <v>177</v>
      </c>
    </row>
    <row r="18" customFormat="false" ht="35.05" hidden="false" customHeight="false" outlineLevel="0" collapsed="false">
      <c r="A18" s="7" t="s">
        <v>178</v>
      </c>
      <c r="B18" s="8" t="s">
        <v>77</v>
      </c>
      <c r="C18" s="7" t="s">
        <v>167</v>
      </c>
      <c r="D18" s="9" t="n">
        <v>280</v>
      </c>
      <c r="E18" s="7" t="s">
        <v>78</v>
      </c>
      <c r="F18" s="7" t="s">
        <v>79</v>
      </c>
      <c r="G18" s="7" t="s">
        <v>63</v>
      </c>
      <c r="H18" s="7" t="s">
        <v>64</v>
      </c>
      <c r="I18" s="8" t="s">
        <v>80</v>
      </c>
      <c r="J18" s="10" t="s">
        <v>66</v>
      </c>
      <c r="K18" s="8" t="s">
        <v>179</v>
      </c>
      <c r="L18" s="8" t="s">
        <v>180</v>
      </c>
      <c r="M18" s="7" t="s">
        <v>181</v>
      </c>
      <c r="N18" s="7" t="s">
        <v>182</v>
      </c>
      <c r="O18" s="7" t="s">
        <v>71</v>
      </c>
      <c r="P18" s="8" t="s">
        <v>183</v>
      </c>
      <c r="Q18" s="7" t="s">
        <v>73</v>
      </c>
      <c r="R18" s="8" t="s">
        <v>184</v>
      </c>
      <c r="S18" s="7" t="s">
        <v>185</v>
      </c>
    </row>
    <row r="19" customFormat="false" ht="35.05" hidden="false" customHeight="false" outlineLevel="0" collapsed="false">
      <c r="A19" s="7" t="s">
        <v>186</v>
      </c>
      <c r="B19" s="8" t="s">
        <v>187</v>
      </c>
      <c r="C19" s="7" t="s">
        <v>167</v>
      </c>
      <c r="D19" s="9" t="n">
        <v>56.5</v>
      </c>
      <c r="E19" s="7" t="s">
        <v>61</v>
      </c>
      <c r="F19" s="7" t="s">
        <v>62</v>
      </c>
      <c r="G19" s="7" t="s">
        <v>63</v>
      </c>
      <c r="H19" s="7" t="s">
        <v>64</v>
      </c>
      <c r="I19" s="8" t="s">
        <v>80</v>
      </c>
      <c r="J19" s="10" t="s">
        <v>66</v>
      </c>
      <c r="K19" s="8" t="s">
        <v>179</v>
      </c>
      <c r="L19" s="8" t="s">
        <v>180</v>
      </c>
      <c r="M19" s="7" t="s">
        <v>181</v>
      </c>
      <c r="N19" s="7" t="s">
        <v>182</v>
      </c>
      <c r="O19" s="7" t="s">
        <v>71</v>
      </c>
      <c r="P19" s="8" t="s">
        <v>188</v>
      </c>
      <c r="Q19" s="7" t="s">
        <v>73</v>
      </c>
      <c r="R19" s="8" t="s">
        <v>189</v>
      </c>
      <c r="S19" s="7" t="s">
        <v>185</v>
      </c>
    </row>
    <row r="20" customFormat="false" ht="23.85" hidden="false" customHeight="false" outlineLevel="0" collapsed="false">
      <c r="A20" s="7" t="s">
        <v>190</v>
      </c>
      <c r="B20" s="8" t="s">
        <v>191</v>
      </c>
      <c r="C20" s="7" t="s">
        <v>167</v>
      </c>
      <c r="D20" s="9" t="n">
        <v>54.92</v>
      </c>
      <c r="E20" s="7" t="s">
        <v>61</v>
      </c>
      <c r="F20" s="7" t="s">
        <v>62</v>
      </c>
      <c r="G20" s="7" t="s">
        <v>63</v>
      </c>
      <c r="H20" s="7" t="s">
        <v>64</v>
      </c>
      <c r="I20" s="8" t="s">
        <v>192</v>
      </c>
      <c r="J20" s="13" t="s">
        <v>193</v>
      </c>
      <c r="K20" s="8" t="s">
        <v>194</v>
      </c>
      <c r="L20" s="8" t="s">
        <v>195</v>
      </c>
      <c r="M20" s="7" t="s">
        <v>196</v>
      </c>
      <c r="N20" s="7" t="s">
        <v>197</v>
      </c>
      <c r="O20" s="7" t="s">
        <v>71</v>
      </c>
      <c r="P20" s="8" t="s">
        <v>198</v>
      </c>
      <c r="Q20" s="7" t="s">
        <v>199</v>
      </c>
      <c r="R20" s="8" t="s">
        <v>200</v>
      </c>
      <c r="S20" s="7" t="s">
        <v>201</v>
      </c>
    </row>
    <row r="21" customFormat="false" ht="23.85" hidden="false" customHeight="false" outlineLevel="0" collapsed="false">
      <c r="A21" s="7" t="s">
        <v>202</v>
      </c>
      <c r="B21" s="8" t="s">
        <v>203</v>
      </c>
      <c r="C21" s="7" t="s">
        <v>204</v>
      </c>
      <c r="D21" s="9" t="n">
        <v>60</v>
      </c>
      <c r="E21" s="7" t="s">
        <v>61</v>
      </c>
      <c r="F21" s="7" t="s">
        <v>62</v>
      </c>
      <c r="G21" s="7" t="s">
        <v>63</v>
      </c>
      <c r="H21" s="7" t="s">
        <v>64</v>
      </c>
      <c r="I21" s="8" t="s">
        <v>80</v>
      </c>
      <c r="J21" s="11" t="s">
        <v>94</v>
      </c>
      <c r="K21" s="8" t="s">
        <v>171</v>
      </c>
      <c r="L21" s="8" t="s">
        <v>172</v>
      </c>
      <c r="M21" s="7" t="s">
        <v>173</v>
      </c>
      <c r="N21" s="7" t="s">
        <v>174</v>
      </c>
      <c r="O21" s="7" t="s">
        <v>71</v>
      </c>
      <c r="P21" s="8" t="s">
        <v>205</v>
      </c>
      <c r="Q21" s="7" t="s">
        <v>73</v>
      </c>
      <c r="R21" s="8"/>
      <c r="S21" s="7" t="s">
        <v>177</v>
      </c>
    </row>
    <row r="22" customFormat="false" ht="35.05" hidden="false" customHeight="false" outlineLevel="0" collapsed="false">
      <c r="A22" s="7" t="s">
        <v>206</v>
      </c>
      <c r="B22" s="8" t="s">
        <v>207</v>
      </c>
      <c r="C22" s="7" t="s">
        <v>204</v>
      </c>
      <c r="D22" s="9" t="n">
        <v>60</v>
      </c>
      <c r="E22" s="7" t="s">
        <v>61</v>
      </c>
      <c r="F22" s="7" t="s">
        <v>62</v>
      </c>
      <c r="G22" s="7" t="s">
        <v>63</v>
      </c>
      <c r="H22" s="7" t="s">
        <v>64</v>
      </c>
      <c r="I22" s="8" t="s">
        <v>80</v>
      </c>
      <c r="J22" s="11" t="s">
        <v>94</v>
      </c>
      <c r="K22" s="8" t="s">
        <v>208</v>
      </c>
      <c r="L22" s="8" t="s">
        <v>209</v>
      </c>
      <c r="M22" s="7" t="s">
        <v>210</v>
      </c>
      <c r="N22" s="7" t="s">
        <v>211</v>
      </c>
      <c r="O22" s="7" t="s">
        <v>71</v>
      </c>
      <c r="P22" s="8" t="s">
        <v>212</v>
      </c>
      <c r="Q22" s="7" t="s">
        <v>73</v>
      </c>
      <c r="R22" s="8" t="s">
        <v>213</v>
      </c>
      <c r="S22" s="7" t="s">
        <v>214</v>
      </c>
    </row>
    <row r="23" customFormat="false" ht="35.05" hidden="false" customHeight="false" outlineLevel="0" collapsed="false">
      <c r="A23" s="7" t="s">
        <v>215</v>
      </c>
      <c r="B23" s="8" t="s">
        <v>216</v>
      </c>
      <c r="C23" s="7" t="s">
        <v>204</v>
      </c>
      <c r="D23" s="9" t="n">
        <v>65</v>
      </c>
      <c r="E23" s="7" t="s">
        <v>61</v>
      </c>
      <c r="F23" s="7" t="s">
        <v>62</v>
      </c>
      <c r="G23" s="7" t="s">
        <v>63</v>
      </c>
      <c r="H23" s="7" t="s">
        <v>64</v>
      </c>
      <c r="I23" s="8" t="s">
        <v>80</v>
      </c>
      <c r="J23" s="11" t="s">
        <v>94</v>
      </c>
      <c r="K23" s="8" t="s">
        <v>118</v>
      </c>
      <c r="L23" s="8" t="s">
        <v>119</v>
      </c>
      <c r="M23" s="7" t="s">
        <v>120</v>
      </c>
      <c r="N23" s="7" t="s">
        <v>121</v>
      </c>
      <c r="O23" s="7" t="s">
        <v>71</v>
      </c>
      <c r="P23" s="8" t="s">
        <v>217</v>
      </c>
      <c r="Q23" s="7" t="s">
        <v>100</v>
      </c>
      <c r="R23" s="8" t="s">
        <v>218</v>
      </c>
      <c r="S23" s="7" t="s">
        <v>124</v>
      </c>
    </row>
    <row r="24" customFormat="false" ht="23.85" hidden="false" customHeight="false" outlineLevel="0" collapsed="false">
      <c r="A24" s="7" t="s">
        <v>219</v>
      </c>
      <c r="B24" s="8" t="s">
        <v>104</v>
      </c>
      <c r="C24" s="7" t="s">
        <v>220</v>
      </c>
      <c r="D24" s="9" t="n">
        <v>31</v>
      </c>
      <c r="E24" s="7" t="s">
        <v>61</v>
      </c>
      <c r="F24" s="7" t="s">
        <v>62</v>
      </c>
      <c r="G24" s="7" t="s">
        <v>63</v>
      </c>
      <c r="H24" s="7" t="s">
        <v>64</v>
      </c>
      <c r="I24" s="8" t="s">
        <v>80</v>
      </c>
      <c r="J24" s="10" t="s">
        <v>66</v>
      </c>
      <c r="K24" s="8" t="s">
        <v>221</v>
      </c>
      <c r="L24" s="8" t="s">
        <v>222</v>
      </c>
      <c r="M24" s="7" t="s">
        <v>173</v>
      </c>
      <c r="N24" s="7" t="s">
        <v>223</v>
      </c>
      <c r="O24" s="7" t="s">
        <v>71</v>
      </c>
      <c r="P24" s="8" t="s">
        <v>224</v>
      </c>
      <c r="Q24" s="7" t="s">
        <v>73</v>
      </c>
      <c r="R24" s="8"/>
      <c r="S24" s="7" t="s">
        <v>225</v>
      </c>
    </row>
    <row r="25" customFormat="false" ht="23.85" hidden="false" customHeight="false" outlineLevel="0" collapsed="false">
      <c r="A25" s="7" t="s">
        <v>226</v>
      </c>
      <c r="B25" s="8" t="s">
        <v>126</v>
      </c>
      <c r="C25" s="7" t="s">
        <v>220</v>
      </c>
      <c r="D25" s="9" t="n">
        <v>18</v>
      </c>
      <c r="E25" s="7" t="s">
        <v>127</v>
      </c>
      <c r="F25" s="7" t="s">
        <v>62</v>
      </c>
      <c r="G25" s="7" t="s">
        <v>63</v>
      </c>
      <c r="H25" s="7" t="s">
        <v>64</v>
      </c>
      <c r="I25" s="8" t="s">
        <v>80</v>
      </c>
      <c r="J25" s="10" t="s">
        <v>66</v>
      </c>
      <c r="K25" s="8" t="s">
        <v>221</v>
      </c>
      <c r="L25" s="8" t="s">
        <v>222</v>
      </c>
      <c r="M25" s="7" t="s">
        <v>173</v>
      </c>
      <c r="N25" s="7" t="s">
        <v>223</v>
      </c>
      <c r="O25" s="7" t="s">
        <v>71</v>
      </c>
      <c r="P25" s="8"/>
      <c r="Q25" s="7" t="s">
        <v>73</v>
      </c>
      <c r="R25" s="8"/>
      <c r="S25" s="7" t="s">
        <v>225</v>
      </c>
    </row>
    <row r="26" customFormat="false" ht="35.05" hidden="false" customHeight="false" outlineLevel="0" collapsed="false">
      <c r="A26" s="7" t="s">
        <v>227</v>
      </c>
      <c r="B26" s="8" t="s">
        <v>77</v>
      </c>
      <c r="C26" s="7" t="s">
        <v>204</v>
      </c>
      <c r="D26" s="9" t="n">
        <v>339</v>
      </c>
      <c r="E26" s="7" t="s">
        <v>78</v>
      </c>
      <c r="F26" s="7" t="s">
        <v>79</v>
      </c>
      <c r="G26" s="7" t="s">
        <v>63</v>
      </c>
      <c r="H26" s="7" t="s">
        <v>64</v>
      </c>
      <c r="I26" s="8" t="s">
        <v>80</v>
      </c>
      <c r="J26" s="10" t="s">
        <v>66</v>
      </c>
      <c r="K26" s="8" t="s">
        <v>179</v>
      </c>
      <c r="L26" s="8" t="s">
        <v>180</v>
      </c>
      <c r="M26" s="7" t="s">
        <v>181</v>
      </c>
      <c r="N26" s="7" t="s">
        <v>182</v>
      </c>
      <c r="O26" s="7" t="s">
        <v>71</v>
      </c>
      <c r="P26" s="8" t="s">
        <v>228</v>
      </c>
      <c r="Q26" s="7" t="s">
        <v>73</v>
      </c>
      <c r="R26" s="8" t="s">
        <v>229</v>
      </c>
      <c r="S26" s="7" t="s">
        <v>185</v>
      </c>
    </row>
    <row r="27" customFormat="false" ht="35.05" hidden="false" customHeight="false" outlineLevel="0" collapsed="false">
      <c r="A27" s="7" t="s">
        <v>230</v>
      </c>
      <c r="B27" s="8" t="s">
        <v>187</v>
      </c>
      <c r="C27" s="7" t="s">
        <v>204</v>
      </c>
      <c r="D27" s="9" t="n">
        <v>68</v>
      </c>
      <c r="E27" s="7" t="s">
        <v>61</v>
      </c>
      <c r="F27" s="7" t="s">
        <v>62</v>
      </c>
      <c r="G27" s="7" t="s">
        <v>63</v>
      </c>
      <c r="H27" s="7" t="s">
        <v>64</v>
      </c>
      <c r="I27" s="8" t="s">
        <v>80</v>
      </c>
      <c r="J27" s="10" t="s">
        <v>66</v>
      </c>
      <c r="K27" s="8" t="s">
        <v>179</v>
      </c>
      <c r="L27" s="8" t="s">
        <v>180</v>
      </c>
      <c r="M27" s="7" t="s">
        <v>181</v>
      </c>
      <c r="N27" s="7" t="s">
        <v>182</v>
      </c>
      <c r="O27" s="7" t="s">
        <v>71</v>
      </c>
      <c r="P27" s="8" t="s">
        <v>231</v>
      </c>
      <c r="Q27" s="7" t="s">
        <v>73</v>
      </c>
      <c r="R27" s="8"/>
      <c r="S27" s="7" t="s">
        <v>185</v>
      </c>
    </row>
    <row r="28" customFormat="false" ht="23.85" hidden="false" customHeight="false" outlineLevel="0" collapsed="false">
      <c r="A28" s="7" t="s">
        <v>232</v>
      </c>
      <c r="B28" s="8" t="s">
        <v>191</v>
      </c>
      <c r="C28" s="7" t="s">
        <v>204</v>
      </c>
      <c r="D28" s="9" t="n">
        <v>66.49</v>
      </c>
      <c r="E28" s="7" t="s">
        <v>61</v>
      </c>
      <c r="F28" s="7" t="s">
        <v>62</v>
      </c>
      <c r="G28" s="7" t="s">
        <v>63</v>
      </c>
      <c r="H28" s="7" t="s">
        <v>64</v>
      </c>
      <c r="I28" s="8" t="s">
        <v>192</v>
      </c>
      <c r="J28" s="13" t="s">
        <v>193</v>
      </c>
      <c r="K28" s="8" t="s">
        <v>194</v>
      </c>
      <c r="L28" s="8" t="s">
        <v>195</v>
      </c>
      <c r="M28" s="7" t="s">
        <v>196</v>
      </c>
      <c r="N28" s="7" t="s">
        <v>197</v>
      </c>
      <c r="O28" s="7" t="s">
        <v>71</v>
      </c>
      <c r="P28" s="8" t="s">
        <v>233</v>
      </c>
      <c r="Q28" s="7" t="s">
        <v>199</v>
      </c>
      <c r="R28" s="8" t="s">
        <v>234</v>
      </c>
      <c r="S28" s="7" t="s">
        <v>201</v>
      </c>
    </row>
    <row r="29" customFormat="false" ht="35.05" hidden="false" customHeight="false" outlineLevel="0" collapsed="false">
      <c r="A29" s="7" t="s">
        <v>235</v>
      </c>
      <c r="B29" s="8" t="s">
        <v>236</v>
      </c>
      <c r="C29" s="7" t="s">
        <v>237</v>
      </c>
      <c r="D29" s="9" t="n">
        <v>90</v>
      </c>
      <c r="E29" s="7" t="s">
        <v>61</v>
      </c>
      <c r="F29" s="7" t="s">
        <v>62</v>
      </c>
      <c r="G29" s="7" t="s">
        <v>63</v>
      </c>
      <c r="H29" s="7" t="s">
        <v>64</v>
      </c>
      <c r="I29" s="8" t="s">
        <v>238</v>
      </c>
      <c r="J29" s="10" t="s">
        <v>66</v>
      </c>
      <c r="K29" s="8" t="s">
        <v>179</v>
      </c>
      <c r="L29" s="8" t="s">
        <v>180</v>
      </c>
      <c r="M29" s="7" t="s">
        <v>181</v>
      </c>
      <c r="N29" s="7" t="s">
        <v>182</v>
      </c>
      <c r="O29" s="7" t="s">
        <v>71</v>
      </c>
      <c r="P29" s="8" t="s">
        <v>239</v>
      </c>
      <c r="Q29" s="7" t="s">
        <v>73</v>
      </c>
      <c r="R29" s="8" t="s">
        <v>240</v>
      </c>
      <c r="S29" s="7" t="s">
        <v>185</v>
      </c>
    </row>
    <row r="30" customFormat="false" ht="35.05" hidden="false" customHeight="false" outlineLevel="0" collapsed="false">
      <c r="A30" s="7" t="s">
        <v>241</v>
      </c>
      <c r="B30" s="8" t="s">
        <v>242</v>
      </c>
      <c r="C30" s="7" t="s">
        <v>237</v>
      </c>
      <c r="D30" s="9" t="n">
        <v>75</v>
      </c>
      <c r="E30" s="7" t="s">
        <v>61</v>
      </c>
      <c r="F30" s="7" t="s">
        <v>62</v>
      </c>
      <c r="G30" s="7" t="s">
        <v>63</v>
      </c>
      <c r="H30" s="7" t="s">
        <v>64</v>
      </c>
      <c r="I30" s="8" t="s">
        <v>243</v>
      </c>
      <c r="J30" s="10" t="s">
        <v>66</v>
      </c>
      <c r="K30" s="8" t="s">
        <v>179</v>
      </c>
      <c r="L30" s="8" t="s">
        <v>180</v>
      </c>
      <c r="M30" s="7" t="s">
        <v>181</v>
      </c>
      <c r="N30" s="7" t="s">
        <v>182</v>
      </c>
      <c r="O30" s="7" t="s">
        <v>71</v>
      </c>
      <c r="P30" s="8" t="s">
        <v>244</v>
      </c>
      <c r="Q30" s="7" t="s">
        <v>73</v>
      </c>
      <c r="R30" s="8" t="s">
        <v>245</v>
      </c>
      <c r="S30" s="7" t="s">
        <v>185</v>
      </c>
    </row>
    <row r="31" customFormat="false" ht="35.05" hidden="false" customHeight="false" outlineLevel="0" collapsed="false">
      <c r="A31" s="7" t="s">
        <v>246</v>
      </c>
      <c r="B31" s="8" t="s">
        <v>247</v>
      </c>
      <c r="C31" s="7" t="s">
        <v>237</v>
      </c>
      <c r="D31" s="9" t="n">
        <v>10</v>
      </c>
      <c r="E31" s="7" t="s">
        <v>127</v>
      </c>
      <c r="F31" s="7" t="s">
        <v>62</v>
      </c>
      <c r="G31" s="7" t="s">
        <v>63</v>
      </c>
      <c r="H31" s="7" t="s">
        <v>64</v>
      </c>
      <c r="I31" s="8" t="s">
        <v>248</v>
      </c>
      <c r="J31" s="10" t="s">
        <v>66</v>
      </c>
      <c r="K31" s="8" t="s">
        <v>179</v>
      </c>
      <c r="L31" s="8" t="s">
        <v>180</v>
      </c>
      <c r="M31" s="7" t="s">
        <v>181</v>
      </c>
      <c r="N31" s="7" t="s">
        <v>182</v>
      </c>
      <c r="O31" s="7" t="s">
        <v>71</v>
      </c>
      <c r="P31" s="8"/>
      <c r="Q31" s="7" t="s">
        <v>73</v>
      </c>
      <c r="R31" s="8"/>
      <c r="S31" s="7" t="s">
        <v>185</v>
      </c>
    </row>
    <row r="32" customFormat="false" ht="35.05" hidden="false" customHeight="false" outlineLevel="0" collapsed="false">
      <c r="A32" s="7" t="s">
        <v>249</v>
      </c>
      <c r="B32" s="8" t="s">
        <v>250</v>
      </c>
      <c r="C32" s="7" t="s">
        <v>251</v>
      </c>
      <c r="D32" s="9" t="n">
        <v>9</v>
      </c>
      <c r="E32" s="7" t="s">
        <v>127</v>
      </c>
      <c r="F32" s="7" t="s">
        <v>252</v>
      </c>
      <c r="G32" s="7" t="s">
        <v>63</v>
      </c>
      <c r="H32" s="7" t="s">
        <v>64</v>
      </c>
      <c r="I32" s="8" t="s">
        <v>253</v>
      </c>
      <c r="J32" s="10" t="s">
        <v>66</v>
      </c>
      <c r="K32" s="8" t="s">
        <v>118</v>
      </c>
      <c r="L32" s="8" t="s">
        <v>119</v>
      </c>
      <c r="M32" s="7" t="s">
        <v>120</v>
      </c>
      <c r="N32" s="7" t="s">
        <v>121</v>
      </c>
      <c r="O32" s="7" t="s">
        <v>71</v>
      </c>
      <c r="P32" s="8" t="s">
        <v>254</v>
      </c>
      <c r="Q32" s="7" t="s">
        <v>100</v>
      </c>
      <c r="R32" s="8" t="s">
        <v>255</v>
      </c>
      <c r="S32" s="7" t="s">
        <v>124</v>
      </c>
    </row>
    <row r="33" customFormat="false" ht="46.25" hidden="false" customHeight="false" outlineLevel="0" collapsed="false">
      <c r="A33" s="7" t="s">
        <v>256</v>
      </c>
      <c r="B33" s="8" t="s">
        <v>257</v>
      </c>
      <c r="C33" s="7" t="s">
        <v>258</v>
      </c>
      <c r="D33" s="9" t="n">
        <v>63.5</v>
      </c>
      <c r="E33" s="7" t="s">
        <v>61</v>
      </c>
      <c r="F33" s="7" t="s">
        <v>62</v>
      </c>
      <c r="G33" s="7" t="s">
        <v>63</v>
      </c>
      <c r="H33" s="7" t="s">
        <v>64</v>
      </c>
      <c r="I33" s="8" t="s">
        <v>259</v>
      </c>
      <c r="J33" s="10" t="s">
        <v>66</v>
      </c>
      <c r="K33" s="8" t="s">
        <v>260</v>
      </c>
      <c r="L33" s="8" t="s">
        <v>261</v>
      </c>
      <c r="M33" s="7" t="s">
        <v>262</v>
      </c>
      <c r="N33" s="7" t="s">
        <v>263</v>
      </c>
      <c r="O33" s="7" t="s">
        <v>71</v>
      </c>
      <c r="P33" s="8" t="s">
        <v>264</v>
      </c>
      <c r="Q33" s="7" t="s">
        <v>73</v>
      </c>
      <c r="R33" s="8" t="s">
        <v>265</v>
      </c>
      <c r="S33" s="7" t="s">
        <v>266</v>
      </c>
    </row>
    <row r="34" customFormat="false" ht="46.25" hidden="false" customHeight="false" outlineLevel="0" collapsed="false">
      <c r="A34" s="7" t="s">
        <v>267</v>
      </c>
      <c r="B34" s="8" t="s">
        <v>268</v>
      </c>
      <c r="C34" s="7" t="s">
        <v>258</v>
      </c>
      <c r="D34" s="9" t="n">
        <v>13</v>
      </c>
      <c r="E34" s="7" t="s">
        <v>127</v>
      </c>
      <c r="F34" s="7" t="s">
        <v>62</v>
      </c>
      <c r="G34" s="7" t="s">
        <v>63</v>
      </c>
      <c r="H34" s="7" t="s">
        <v>64</v>
      </c>
      <c r="I34" s="8" t="s">
        <v>253</v>
      </c>
      <c r="J34" s="10" t="s">
        <v>66</v>
      </c>
      <c r="K34" s="8" t="s">
        <v>260</v>
      </c>
      <c r="L34" s="8" t="s">
        <v>261</v>
      </c>
      <c r="M34" s="7" t="s">
        <v>262</v>
      </c>
      <c r="N34" s="7" t="s">
        <v>263</v>
      </c>
      <c r="O34" s="7" t="s">
        <v>71</v>
      </c>
      <c r="P34" s="8"/>
      <c r="Q34" s="7" t="s">
        <v>73</v>
      </c>
      <c r="R34" s="8"/>
      <c r="S34" s="7" t="s">
        <v>266</v>
      </c>
    </row>
    <row r="35" customFormat="false" ht="23.85" hidden="false" customHeight="false" outlineLevel="0" collapsed="false">
      <c r="A35" s="7" t="s">
        <v>269</v>
      </c>
      <c r="B35" s="8" t="s">
        <v>270</v>
      </c>
      <c r="C35" s="7" t="s">
        <v>271</v>
      </c>
      <c r="D35" s="9" t="n">
        <v>2</v>
      </c>
      <c r="E35" s="7" t="s">
        <v>127</v>
      </c>
      <c r="F35" s="7" t="s">
        <v>252</v>
      </c>
      <c r="G35" s="7" t="s">
        <v>63</v>
      </c>
      <c r="H35" s="7" t="s">
        <v>64</v>
      </c>
      <c r="I35" s="8" t="s">
        <v>253</v>
      </c>
      <c r="J35" s="10" t="s">
        <v>66</v>
      </c>
      <c r="K35" s="8" t="s">
        <v>272</v>
      </c>
      <c r="L35" s="8" t="s">
        <v>273</v>
      </c>
      <c r="M35" s="7" t="s">
        <v>196</v>
      </c>
      <c r="N35" s="7" t="s">
        <v>274</v>
      </c>
      <c r="O35" s="7" t="s">
        <v>71</v>
      </c>
      <c r="P35" s="8" t="s">
        <v>275</v>
      </c>
      <c r="Q35" s="7" t="s">
        <v>100</v>
      </c>
      <c r="R35" s="8" t="s">
        <v>276</v>
      </c>
      <c r="S35" s="7" t="s">
        <v>277</v>
      </c>
    </row>
    <row r="36" customFormat="false" ht="35.05" hidden="false" customHeight="false" outlineLevel="0" collapsed="false">
      <c r="A36" s="7" t="s">
        <v>278</v>
      </c>
      <c r="B36" s="8" t="s">
        <v>140</v>
      </c>
      <c r="C36" s="7" t="s">
        <v>279</v>
      </c>
      <c r="D36" s="9" t="n">
        <v>100</v>
      </c>
      <c r="E36" s="7" t="s">
        <v>61</v>
      </c>
      <c r="F36" s="7" t="s">
        <v>62</v>
      </c>
      <c r="G36" s="7" t="s">
        <v>63</v>
      </c>
      <c r="H36" s="7" t="s">
        <v>64</v>
      </c>
      <c r="I36" s="8" t="s">
        <v>280</v>
      </c>
      <c r="J36" s="11" t="s">
        <v>94</v>
      </c>
      <c r="K36" s="8" t="s">
        <v>179</v>
      </c>
      <c r="L36" s="8" t="s">
        <v>180</v>
      </c>
      <c r="M36" s="7" t="s">
        <v>181</v>
      </c>
      <c r="N36" s="7" t="s">
        <v>182</v>
      </c>
      <c r="O36" s="7" t="s">
        <v>71</v>
      </c>
      <c r="P36" s="8" t="s">
        <v>281</v>
      </c>
      <c r="Q36" s="7" t="s">
        <v>73</v>
      </c>
      <c r="R36" s="8" t="s">
        <v>137</v>
      </c>
      <c r="S36" s="7" t="s">
        <v>185</v>
      </c>
    </row>
    <row r="37" customFormat="false" ht="35.05" hidden="false" customHeight="false" outlineLevel="0" collapsed="false">
      <c r="A37" s="7" t="s">
        <v>282</v>
      </c>
      <c r="B37" s="8" t="s">
        <v>283</v>
      </c>
      <c r="C37" s="7" t="s">
        <v>279</v>
      </c>
      <c r="D37" s="9" t="n">
        <v>500</v>
      </c>
      <c r="E37" s="7" t="s">
        <v>78</v>
      </c>
      <c r="F37" s="7" t="s">
        <v>79</v>
      </c>
      <c r="G37" s="7" t="s">
        <v>63</v>
      </c>
      <c r="H37" s="7" t="s">
        <v>64</v>
      </c>
      <c r="I37" s="8" t="s">
        <v>284</v>
      </c>
      <c r="J37" s="11" t="s">
        <v>94</v>
      </c>
      <c r="K37" s="8" t="s">
        <v>285</v>
      </c>
      <c r="L37" s="8" t="s">
        <v>286</v>
      </c>
      <c r="M37" s="7" t="s">
        <v>287</v>
      </c>
      <c r="N37" s="7" t="s">
        <v>288</v>
      </c>
      <c r="O37" s="7" t="s">
        <v>71</v>
      </c>
      <c r="P37" s="8" t="s">
        <v>289</v>
      </c>
      <c r="Q37" s="7" t="s">
        <v>100</v>
      </c>
      <c r="R37" s="8" t="s">
        <v>290</v>
      </c>
      <c r="S37" s="7" t="s">
        <v>291</v>
      </c>
    </row>
    <row r="38" customFormat="false" ht="23.85" hidden="false" customHeight="false" outlineLevel="0" collapsed="false">
      <c r="A38" s="7" t="s">
        <v>292</v>
      </c>
      <c r="B38" s="8" t="s">
        <v>293</v>
      </c>
      <c r="C38" s="7" t="s">
        <v>279</v>
      </c>
      <c r="D38" s="9" t="n">
        <v>10</v>
      </c>
      <c r="E38" s="7" t="s">
        <v>127</v>
      </c>
      <c r="F38" s="7" t="s">
        <v>252</v>
      </c>
      <c r="G38" s="7" t="s">
        <v>63</v>
      </c>
      <c r="H38" s="7" t="s">
        <v>64</v>
      </c>
      <c r="I38" s="8" t="s">
        <v>294</v>
      </c>
      <c r="J38" s="11" t="s">
        <v>94</v>
      </c>
      <c r="K38" s="8" t="s">
        <v>272</v>
      </c>
      <c r="L38" s="8" t="s">
        <v>273</v>
      </c>
      <c r="M38" s="7" t="s">
        <v>196</v>
      </c>
      <c r="N38" s="7" t="s">
        <v>274</v>
      </c>
      <c r="O38" s="7" t="s">
        <v>71</v>
      </c>
      <c r="P38" s="8" t="s">
        <v>295</v>
      </c>
      <c r="Q38" s="7" t="s">
        <v>100</v>
      </c>
      <c r="R38" s="8"/>
      <c r="S38" s="7" t="s">
        <v>277</v>
      </c>
    </row>
    <row r="39" customFormat="false" ht="23.85" hidden="false" customHeight="false" outlineLevel="0" collapsed="false">
      <c r="A39" s="7" t="s">
        <v>296</v>
      </c>
      <c r="B39" s="8" t="s">
        <v>297</v>
      </c>
      <c r="C39" s="7" t="s">
        <v>279</v>
      </c>
      <c r="D39" s="9" t="n">
        <v>12</v>
      </c>
      <c r="E39" s="7" t="s">
        <v>127</v>
      </c>
      <c r="F39" s="7" t="s">
        <v>252</v>
      </c>
      <c r="G39" s="7" t="s">
        <v>63</v>
      </c>
      <c r="H39" s="7" t="s">
        <v>64</v>
      </c>
      <c r="I39" s="8" t="s">
        <v>294</v>
      </c>
      <c r="J39" s="11" t="s">
        <v>94</v>
      </c>
      <c r="K39" s="8" t="s">
        <v>272</v>
      </c>
      <c r="L39" s="8" t="s">
        <v>273</v>
      </c>
      <c r="M39" s="7" t="s">
        <v>196</v>
      </c>
      <c r="N39" s="7" t="s">
        <v>274</v>
      </c>
      <c r="O39" s="7" t="s">
        <v>71</v>
      </c>
      <c r="P39" s="8"/>
      <c r="Q39" s="7" t="s">
        <v>100</v>
      </c>
      <c r="R39" s="8"/>
      <c r="S39" s="7" t="s">
        <v>277</v>
      </c>
    </row>
    <row r="40" customFormat="false" ht="35.05" hidden="false" customHeight="false" outlineLevel="0" collapsed="false">
      <c r="A40" s="7" t="s">
        <v>298</v>
      </c>
      <c r="B40" s="8" t="s">
        <v>299</v>
      </c>
      <c r="C40" s="7" t="s">
        <v>300</v>
      </c>
      <c r="D40" s="9" t="n">
        <v>100</v>
      </c>
      <c r="E40" s="7" t="s">
        <v>61</v>
      </c>
      <c r="F40" s="7" t="s">
        <v>62</v>
      </c>
      <c r="G40" s="7" t="s">
        <v>63</v>
      </c>
      <c r="H40" s="7" t="s">
        <v>64</v>
      </c>
      <c r="I40" s="8" t="s">
        <v>294</v>
      </c>
      <c r="J40" s="11" t="s">
        <v>94</v>
      </c>
      <c r="K40" s="8" t="s">
        <v>118</v>
      </c>
      <c r="L40" s="8" t="s">
        <v>119</v>
      </c>
      <c r="M40" s="7" t="s">
        <v>120</v>
      </c>
      <c r="N40" s="7" t="s">
        <v>121</v>
      </c>
      <c r="O40" s="7" t="s">
        <v>71</v>
      </c>
      <c r="P40" s="8" t="s">
        <v>301</v>
      </c>
      <c r="Q40" s="7" t="s">
        <v>199</v>
      </c>
      <c r="R40" s="8" t="s">
        <v>302</v>
      </c>
      <c r="S40" s="7" t="s">
        <v>124</v>
      </c>
    </row>
    <row r="41" customFormat="false" ht="23.85" hidden="false" customHeight="false" outlineLevel="0" collapsed="false">
      <c r="A41" s="7" t="s">
        <v>303</v>
      </c>
      <c r="B41" s="8" t="s">
        <v>304</v>
      </c>
      <c r="C41" s="7" t="s">
        <v>305</v>
      </c>
      <c r="D41" s="9" t="n">
        <v>1</v>
      </c>
      <c r="E41" s="7" t="s">
        <v>61</v>
      </c>
      <c r="F41" s="7" t="s">
        <v>62</v>
      </c>
      <c r="G41" s="7" t="s">
        <v>63</v>
      </c>
      <c r="H41" s="7" t="s">
        <v>306</v>
      </c>
      <c r="I41" s="8" t="s">
        <v>307</v>
      </c>
      <c r="J41" s="11" t="s">
        <v>94</v>
      </c>
      <c r="K41" s="8" t="s">
        <v>308</v>
      </c>
      <c r="L41" s="8" t="s">
        <v>309</v>
      </c>
      <c r="M41" s="7" t="s">
        <v>97</v>
      </c>
      <c r="N41" s="7" t="s">
        <v>310</v>
      </c>
      <c r="O41" s="7" t="s">
        <v>71</v>
      </c>
      <c r="P41" s="8" t="s">
        <v>311</v>
      </c>
      <c r="Q41" s="7" t="s">
        <v>100</v>
      </c>
      <c r="R41" s="8"/>
      <c r="S41" s="7" t="s">
        <v>312</v>
      </c>
    </row>
    <row r="42" customFormat="false" ht="23.85" hidden="false" customHeight="false" outlineLevel="0" collapsed="false">
      <c r="A42" s="7" t="s">
        <v>313</v>
      </c>
      <c r="B42" s="8" t="s">
        <v>314</v>
      </c>
      <c r="C42" s="7" t="s">
        <v>167</v>
      </c>
      <c r="D42" s="9" t="n">
        <v>18.6</v>
      </c>
      <c r="E42" s="7" t="s">
        <v>78</v>
      </c>
      <c r="F42" s="7" t="s">
        <v>79</v>
      </c>
      <c r="G42" s="7" t="s">
        <v>63</v>
      </c>
      <c r="H42" s="7" t="s">
        <v>315</v>
      </c>
      <c r="I42" s="8" t="s">
        <v>316</v>
      </c>
      <c r="J42" s="10" t="s">
        <v>66</v>
      </c>
      <c r="K42" s="8" t="s">
        <v>317</v>
      </c>
      <c r="L42" s="8" t="s">
        <v>318</v>
      </c>
      <c r="M42" s="7" t="s">
        <v>319</v>
      </c>
      <c r="N42" s="7" t="s">
        <v>320</v>
      </c>
      <c r="O42" s="7" t="s">
        <v>71</v>
      </c>
      <c r="P42" s="8" t="s">
        <v>321</v>
      </c>
      <c r="Q42" s="7" t="s">
        <v>73</v>
      </c>
      <c r="R42" s="8" t="s">
        <v>322</v>
      </c>
      <c r="S42" s="7" t="s">
        <v>323</v>
      </c>
    </row>
    <row r="43" customFormat="false" ht="23.85" hidden="false" customHeight="false" outlineLevel="0" collapsed="false">
      <c r="A43" s="7" t="s">
        <v>324</v>
      </c>
      <c r="B43" s="8" t="s">
        <v>325</v>
      </c>
      <c r="C43" s="7" t="s">
        <v>167</v>
      </c>
      <c r="D43" s="9" t="n">
        <v>6.4</v>
      </c>
      <c r="E43" s="7" t="s">
        <v>78</v>
      </c>
      <c r="F43" s="7" t="s">
        <v>79</v>
      </c>
      <c r="G43" s="7" t="s">
        <v>63</v>
      </c>
      <c r="H43" s="7" t="s">
        <v>315</v>
      </c>
      <c r="I43" s="8" t="s">
        <v>316</v>
      </c>
      <c r="J43" s="10" t="s">
        <v>66</v>
      </c>
      <c r="K43" s="8" t="s">
        <v>317</v>
      </c>
      <c r="L43" s="8" t="s">
        <v>318</v>
      </c>
      <c r="M43" s="7" t="s">
        <v>319</v>
      </c>
      <c r="N43" s="7" t="s">
        <v>320</v>
      </c>
      <c r="O43" s="7" t="s">
        <v>71</v>
      </c>
      <c r="P43" s="8" t="s">
        <v>321</v>
      </c>
      <c r="Q43" s="7" t="s">
        <v>73</v>
      </c>
      <c r="R43" s="8" t="s">
        <v>326</v>
      </c>
      <c r="S43" s="7" t="s">
        <v>323</v>
      </c>
    </row>
    <row r="44" customFormat="false" ht="35.05" hidden="false" customHeight="false" outlineLevel="0" collapsed="false">
      <c r="A44" s="7" t="s">
        <v>327</v>
      </c>
      <c r="B44" s="8" t="s">
        <v>328</v>
      </c>
      <c r="C44" s="7" t="s">
        <v>167</v>
      </c>
      <c r="D44" s="9" t="n">
        <v>49</v>
      </c>
      <c r="E44" s="7" t="s">
        <v>78</v>
      </c>
      <c r="F44" s="7" t="s">
        <v>79</v>
      </c>
      <c r="G44" s="7" t="s">
        <v>63</v>
      </c>
      <c r="H44" s="7" t="s">
        <v>329</v>
      </c>
      <c r="I44" s="8" t="s">
        <v>330</v>
      </c>
      <c r="J44" s="13" t="s">
        <v>193</v>
      </c>
      <c r="K44" s="8" t="s">
        <v>331</v>
      </c>
      <c r="L44" s="8" t="s">
        <v>332</v>
      </c>
      <c r="M44" s="7" t="s">
        <v>333</v>
      </c>
      <c r="N44" s="7" t="s">
        <v>334</v>
      </c>
      <c r="O44" s="7" t="s">
        <v>71</v>
      </c>
      <c r="P44" s="8" t="s">
        <v>335</v>
      </c>
      <c r="Q44" s="7" t="s">
        <v>199</v>
      </c>
      <c r="R44" s="8" t="s">
        <v>336</v>
      </c>
      <c r="S44" s="7" t="s">
        <v>337</v>
      </c>
    </row>
    <row r="45" customFormat="false" ht="35.05" hidden="false" customHeight="false" outlineLevel="0" collapsed="false">
      <c r="A45" s="7" t="s">
        <v>338</v>
      </c>
      <c r="B45" s="8" t="s">
        <v>339</v>
      </c>
      <c r="C45" s="7" t="s">
        <v>340</v>
      </c>
      <c r="D45" s="7"/>
      <c r="E45" s="7" t="s">
        <v>61</v>
      </c>
      <c r="F45" s="7" t="s">
        <v>341</v>
      </c>
      <c r="G45" s="7" t="s">
        <v>63</v>
      </c>
      <c r="H45" s="7" t="s">
        <v>64</v>
      </c>
      <c r="I45" s="8" t="s">
        <v>294</v>
      </c>
      <c r="J45" s="14" t="s">
        <v>342</v>
      </c>
      <c r="K45" s="8" t="s">
        <v>179</v>
      </c>
      <c r="L45" s="8" t="s">
        <v>180</v>
      </c>
      <c r="M45" s="7" t="s">
        <v>181</v>
      </c>
      <c r="N45" s="7" t="s">
        <v>182</v>
      </c>
      <c r="O45" s="7" t="s">
        <v>71</v>
      </c>
      <c r="P45" s="8" t="s">
        <v>343</v>
      </c>
      <c r="Q45" s="7"/>
      <c r="R45" s="8" t="s">
        <v>344</v>
      </c>
      <c r="S45" s="7" t="s">
        <v>185</v>
      </c>
    </row>
    <row r="46" customFormat="false" ht="35.05" hidden="false" customHeight="false" outlineLevel="0" collapsed="false">
      <c r="A46" s="7" t="s">
        <v>345</v>
      </c>
      <c r="B46" s="8" t="s">
        <v>346</v>
      </c>
      <c r="C46" s="7" t="s">
        <v>340</v>
      </c>
      <c r="D46" s="7"/>
      <c r="E46" s="7" t="s">
        <v>61</v>
      </c>
      <c r="F46" s="7" t="s">
        <v>341</v>
      </c>
      <c r="G46" s="7" t="s">
        <v>63</v>
      </c>
      <c r="H46" s="7" t="s">
        <v>64</v>
      </c>
      <c r="I46" s="8" t="s">
        <v>294</v>
      </c>
      <c r="J46" s="14" t="s">
        <v>342</v>
      </c>
      <c r="K46" s="8" t="s">
        <v>179</v>
      </c>
      <c r="L46" s="8" t="s">
        <v>180</v>
      </c>
      <c r="M46" s="7" t="s">
        <v>181</v>
      </c>
      <c r="N46" s="7" t="s">
        <v>182</v>
      </c>
      <c r="O46" s="7" t="s">
        <v>71</v>
      </c>
      <c r="P46" s="8" t="s">
        <v>347</v>
      </c>
      <c r="Q46" s="7"/>
      <c r="R46" s="8" t="s">
        <v>344</v>
      </c>
      <c r="S46" s="7" t="s">
        <v>185</v>
      </c>
    </row>
    <row r="47" customFormat="false" ht="35.05" hidden="false" customHeight="false" outlineLevel="0" collapsed="false">
      <c r="A47" s="7" t="s">
        <v>348</v>
      </c>
      <c r="B47" s="8" t="s">
        <v>349</v>
      </c>
      <c r="C47" s="7" t="s">
        <v>340</v>
      </c>
      <c r="D47" s="7"/>
      <c r="E47" s="7" t="s">
        <v>61</v>
      </c>
      <c r="F47" s="7" t="s">
        <v>341</v>
      </c>
      <c r="G47" s="7" t="s">
        <v>63</v>
      </c>
      <c r="H47" s="7" t="s">
        <v>64</v>
      </c>
      <c r="I47" s="8" t="s">
        <v>294</v>
      </c>
      <c r="J47" s="14" t="s">
        <v>342</v>
      </c>
      <c r="K47" s="8" t="s">
        <v>179</v>
      </c>
      <c r="L47" s="8" t="s">
        <v>180</v>
      </c>
      <c r="M47" s="7" t="s">
        <v>181</v>
      </c>
      <c r="N47" s="7" t="s">
        <v>182</v>
      </c>
      <c r="O47" s="7" t="s">
        <v>71</v>
      </c>
      <c r="P47" s="8" t="s">
        <v>350</v>
      </c>
      <c r="Q47" s="7"/>
      <c r="R47" s="8" t="s">
        <v>344</v>
      </c>
      <c r="S47" s="7" t="s">
        <v>185</v>
      </c>
    </row>
    <row r="48" customFormat="false" ht="35.05" hidden="false" customHeight="false" outlineLevel="0" collapsed="false">
      <c r="A48" s="7" t="s">
        <v>351</v>
      </c>
      <c r="B48" s="8" t="s">
        <v>352</v>
      </c>
      <c r="C48" s="7" t="s">
        <v>60</v>
      </c>
      <c r="D48" s="9" t="n">
        <v>2.3</v>
      </c>
      <c r="E48" s="7" t="s">
        <v>61</v>
      </c>
      <c r="F48" s="7" t="s">
        <v>62</v>
      </c>
      <c r="G48" s="7" t="s">
        <v>63</v>
      </c>
      <c r="H48" s="7" t="s">
        <v>64</v>
      </c>
      <c r="I48" s="8" t="s">
        <v>80</v>
      </c>
      <c r="J48" s="10" t="s">
        <v>66</v>
      </c>
      <c r="K48" s="8" t="s">
        <v>67</v>
      </c>
      <c r="L48" s="8" t="s">
        <v>68</v>
      </c>
      <c r="M48" s="7" t="s">
        <v>69</v>
      </c>
      <c r="N48" s="7" t="s">
        <v>70</v>
      </c>
      <c r="O48" s="7" t="s">
        <v>71</v>
      </c>
      <c r="P48" s="8"/>
      <c r="Q48" s="7" t="s">
        <v>73</v>
      </c>
      <c r="R48" s="8"/>
      <c r="S48" s="7" t="s">
        <v>75</v>
      </c>
    </row>
    <row r="49" customFormat="false" ht="23.85" hidden="false" customHeight="false" outlineLevel="0" collapsed="false">
      <c r="A49" s="7" t="s">
        <v>353</v>
      </c>
      <c r="B49" s="8" t="s">
        <v>354</v>
      </c>
      <c r="C49" s="7" t="s">
        <v>60</v>
      </c>
      <c r="D49" s="9" t="n">
        <v>4.5</v>
      </c>
      <c r="E49" s="7" t="s">
        <v>61</v>
      </c>
      <c r="F49" s="7" t="s">
        <v>62</v>
      </c>
      <c r="G49" s="7" t="s">
        <v>63</v>
      </c>
      <c r="H49" s="7" t="s">
        <v>64</v>
      </c>
      <c r="I49" s="8" t="s">
        <v>80</v>
      </c>
      <c r="J49" s="11" t="s">
        <v>94</v>
      </c>
      <c r="K49" s="8" t="s">
        <v>355</v>
      </c>
      <c r="L49" s="8" t="s">
        <v>356</v>
      </c>
      <c r="M49" s="7" t="s">
        <v>108</v>
      </c>
      <c r="N49" s="7" t="s">
        <v>357</v>
      </c>
      <c r="O49" s="7" t="s">
        <v>71</v>
      </c>
      <c r="P49" s="8" t="s">
        <v>358</v>
      </c>
      <c r="Q49" s="7" t="s">
        <v>73</v>
      </c>
      <c r="R49" s="8" t="s">
        <v>359</v>
      </c>
      <c r="S49" s="7" t="s">
        <v>360</v>
      </c>
    </row>
    <row r="50" customFormat="false" ht="35.05" hidden="false" customHeight="false" outlineLevel="0" collapsed="false">
      <c r="A50" s="7" t="s">
        <v>361</v>
      </c>
      <c r="B50" s="8" t="s">
        <v>354</v>
      </c>
      <c r="C50" s="7" t="s">
        <v>89</v>
      </c>
      <c r="D50" s="9" t="n">
        <v>3.5</v>
      </c>
      <c r="E50" s="7" t="s">
        <v>61</v>
      </c>
      <c r="F50" s="7" t="s">
        <v>62</v>
      </c>
      <c r="G50" s="7" t="s">
        <v>63</v>
      </c>
      <c r="H50" s="7" t="s">
        <v>64</v>
      </c>
      <c r="I50" s="8" t="s">
        <v>80</v>
      </c>
      <c r="J50" s="11" t="s">
        <v>94</v>
      </c>
      <c r="K50" s="8" t="s">
        <v>362</v>
      </c>
      <c r="L50" s="8" t="s">
        <v>363</v>
      </c>
      <c r="M50" s="7" t="s">
        <v>364</v>
      </c>
      <c r="N50" s="7" t="s">
        <v>365</v>
      </c>
      <c r="O50" s="7" t="s">
        <v>71</v>
      </c>
      <c r="P50" s="8"/>
      <c r="Q50" s="7" t="s">
        <v>73</v>
      </c>
      <c r="R50" s="8" t="s">
        <v>366</v>
      </c>
      <c r="S50" s="7" t="s">
        <v>367</v>
      </c>
    </row>
    <row r="51" customFormat="false" ht="23.85" hidden="false" customHeight="false" outlineLevel="0" collapsed="false">
      <c r="A51" s="7" t="s">
        <v>368</v>
      </c>
      <c r="B51" s="8" t="s">
        <v>369</v>
      </c>
      <c r="C51" s="7" t="s">
        <v>89</v>
      </c>
      <c r="D51" s="9" t="n">
        <v>3.8</v>
      </c>
      <c r="E51" s="7" t="s">
        <v>61</v>
      </c>
      <c r="F51" s="7" t="s">
        <v>62</v>
      </c>
      <c r="G51" s="7" t="s">
        <v>63</v>
      </c>
      <c r="H51" s="7" t="s">
        <v>64</v>
      </c>
      <c r="I51" s="8" t="s">
        <v>80</v>
      </c>
      <c r="J51" s="10" t="s">
        <v>66</v>
      </c>
      <c r="K51" s="8" t="s">
        <v>81</v>
      </c>
      <c r="L51" s="8" t="s">
        <v>82</v>
      </c>
      <c r="M51" s="7" t="s">
        <v>83</v>
      </c>
      <c r="N51" s="7" t="s">
        <v>84</v>
      </c>
      <c r="O51" s="7" t="s">
        <v>71</v>
      </c>
      <c r="P51" s="8" t="s">
        <v>370</v>
      </c>
      <c r="Q51" s="7" t="s">
        <v>73</v>
      </c>
      <c r="R51" s="8" t="s">
        <v>371</v>
      </c>
      <c r="S51" s="7" t="s">
        <v>87</v>
      </c>
    </row>
    <row r="52" customFormat="false" ht="35.05" hidden="false" customHeight="false" outlineLevel="0" collapsed="false">
      <c r="A52" s="7" t="s">
        <v>372</v>
      </c>
      <c r="B52" s="8" t="s">
        <v>354</v>
      </c>
      <c r="C52" s="7" t="s">
        <v>160</v>
      </c>
      <c r="D52" s="9" t="n">
        <v>24</v>
      </c>
      <c r="E52" s="7" t="s">
        <v>78</v>
      </c>
      <c r="F52" s="7" t="s">
        <v>79</v>
      </c>
      <c r="G52" s="7" t="s">
        <v>63</v>
      </c>
      <c r="H52" s="7" t="s">
        <v>64</v>
      </c>
      <c r="I52" s="8" t="s">
        <v>80</v>
      </c>
      <c r="J52" s="11" t="s">
        <v>94</v>
      </c>
      <c r="K52" s="8" t="s">
        <v>118</v>
      </c>
      <c r="L52" s="8" t="s">
        <v>119</v>
      </c>
      <c r="M52" s="7" t="s">
        <v>120</v>
      </c>
      <c r="N52" s="7" t="s">
        <v>121</v>
      </c>
      <c r="O52" s="7" t="s">
        <v>71</v>
      </c>
      <c r="P52" s="8" t="s">
        <v>373</v>
      </c>
      <c r="Q52" s="7" t="s">
        <v>100</v>
      </c>
      <c r="R52" s="8" t="s">
        <v>374</v>
      </c>
      <c r="S52" s="7" t="s">
        <v>124</v>
      </c>
    </row>
    <row r="53" customFormat="false" ht="23.85" hidden="false" customHeight="false" outlineLevel="0" collapsed="false">
      <c r="A53" s="7" t="s">
        <v>375</v>
      </c>
      <c r="B53" s="8" t="s">
        <v>376</v>
      </c>
      <c r="C53" s="7" t="s">
        <v>377</v>
      </c>
      <c r="D53" s="9" t="n">
        <v>3</v>
      </c>
      <c r="E53" s="7" t="s">
        <v>61</v>
      </c>
      <c r="F53" s="7" t="s">
        <v>62</v>
      </c>
      <c r="G53" s="7" t="s">
        <v>63</v>
      </c>
      <c r="H53" s="7" t="s">
        <v>64</v>
      </c>
      <c r="I53" s="8" t="s">
        <v>378</v>
      </c>
      <c r="J53" s="11" t="s">
        <v>94</v>
      </c>
      <c r="K53" s="8" t="s">
        <v>379</v>
      </c>
      <c r="L53" s="8" t="s">
        <v>380</v>
      </c>
      <c r="M53" s="7" t="s">
        <v>381</v>
      </c>
      <c r="N53" s="7" t="s">
        <v>382</v>
      </c>
      <c r="O53" s="7" t="s">
        <v>71</v>
      </c>
      <c r="P53" s="8"/>
      <c r="Q53" s="7" t="s">
        <v>100</v>
      </c>
      <c r="R53" s="8" t="s">
        <v>366</v>
      </c>
      <c r="S53" s="7" t="s">
        <v>383</v>
      </c>
    </row>
    <row r="54" customFormat="false" ht="23.85" hidden="false" customHeight="false" outlineLevel="0" collapsed="false">
      <c r="A54" s="7" t="s">
        <v>384</v>
      </c>
      <c r="B54" s="8" t="s">
        <v>385</v>
      </c>
      <c r="C54" s="7" t="s">
        <v>377</v>
      </c>
      <c r="D54" s="9" t="n">
        <v>5</v>
      </c>
      <c r="E54" s="7" t="s">
        <v>61</v>
      </c>
      <c r="F54" s="7" t="s">
        <v>62</v>
      </c>
      <c r="G54" s="7" t="s">
        <v>63</v>
      </c>
      <c r="H54" s="7" t="s">
        <v>64</v>
      </c>
      <c r="I54" s="8" t="s">
        <v>378</v>
      </c>
      <c r="J54" s="11" t="s">
        <v>94</v>
      </c>
      <c r="K54" s="8" t="s">
        <v>379</v>
      </c>
      <c r="L54" s="8" t="s">
        <v>380</v>
      </c>
      <c r="M54" s="7" t="s">
        <v>381</v>
      </c>
      <c r="N54" s="7" t="s">
        <v>382</v>
      </c>
      <c r="O54" s="7" t="s">
        <v>71</v>
      </c>
      <c r="P54" s="8"/>
      <c r="Q54" s="7" t="s">
        <v>100</v>
      </c>
      <c r="R54" s="8" t="s">
        <v>366</v>
      </c>
      <c r="S54" s="7" t="s">
        <v>383</v>
      </c>
    </row>
    <row r="55" customFormat="false" ht="23.85" hidden="false" customHeight="false" outlineLevel="0" collapsed="false">
      <c r="A55" s="7" t="s">
        <v>386</v>
      </c>
      <c r="B55" s="8" t="s">
        <v>387</v>
      </c>
      <c r="C55" s="7" t="s">
        <v>167</v>
      </c>
      <c r="D55" s="9" t="n">
        <v>15</v>
      </c>
      <c r="E55" s="7" t="s">
        <v>61</v>
      </c>
      <c r="F55" s="7" t="s">
        <v>62</v>
      </c>
      <c r="G55" s="7" t="s">
        <v>63</v>
      </c>
      <c r="H55" s="7" t="s">
        <v>64</v>
      </c>
      <c r="I55" s="8" t="s">
        <v>388</v>
      </c>
      <c r="J55" s="10" t="s">
        <v>66</v>
      </c>
      <c r="K55" s="8" t="s">
        <v>171</v>
      </c>
      <c r="L55" s="8" t="s">
        <v>172</v>
      </c>
      <c r="M55" s="7" t="s">
        <v>173</v>
      </c>
      <c r="N55" s="7" t="s">
        <v>174</v>
      </c>
      <c r="O55" s="7" t="s">
        <v>71</v>
      </c>
      <c r="P55" s="8" t="s">
        <v>389</v>
      </c>
      <c r="Q55" s="7" t="s">
        <v>73</v>
      </c>
      <c r="R55" s="8" t="s">
        <v>390</v>
      </c>
      <c r="S55" s="7" t="s">
        <v>177</v>
      </c>
    </row>
    <row r="56" customFormat="false" ht="35.05" hidden="false" customHeight="false" outlineLevel="0" collapsed="false">
      <c r="A56" s="7" t="s">
        <v>391</v>
      </c>
      <c r="B56" s="8" t="s">
        <v>354</v>
      </c>
      <c r="C56" s="7" t="s">
        <v>204</v>
      </c>
      <c r="D56" s="9" t="n">
        <v>20</v>
      </c>
      <c r="E56" s="7" t="s">
        <v>61</v>
      </c>
      <c r="F56" s="7" t="s">
        <v>62</v>
      </c>
      <c r="G56" s="7" t="s">
        <v>63</v>
      </c>
      <c r="H56" s="7" t="s">
        <v>64</v>
      </c>
      <c r="I56" s="8" t="s">
        <v>392</v>
      </c>
      <c r="J56" s="11" t="s">
        <v>94</v>
      </c>
      <c r="K56" s="8" t="s">
        <v>208</v>
      </c>
      <c r="L56" s="8" t="s">
        <v>209</v>
      </c>
      <c r="M56" s="7" t="s">
        <v>210</v>
      </c>
      <c r="N56" s="7" t="s">
        <v>211</v>
      </c>
      <c r="O56" s="7" t="s">
        <v>71</v>
      </c>
      <c r="P56" s="8" t="s">
        <v>393</v>
      </c>
      <c r="Q56" s="7" t="s">
        <v>73</v>
      </c>
      <c r="R56" s="8" t="s">
        <v>394</v>
      </c>
      <c r="S56" s="7" t="s">
        <v>214</v>
      </c>
    </row>
    <row r="57" customFormat="false" ht="23.85" hidden="false" customHeight="false" outlineLevel="0" collapsed="false">
      <c r="A57" s="7" t="s">
        <v>395</v>
      </c>
      <c r="B57" s="8" t="s">
        <v>396</v>
      </c>
      <c r="C57" s="7" t="s">
        <v>220</v>
      </c>
      <c r="D57" s="9" t="n">
        <v>1.5</v>
      </c>
      <c r="E57" s="7" t="s">
        <v>61</v>
      </c>
      <c r="F57" s="7" t="s">
        <v>62</v>
      </c>
      <c r="G57" s="7" t="s">
        <v>63</v>
      </c>
      <c r="H57" s="7" t="s">
        <v>64</v>
      </c>
      <c r="I57" s="8" t="s">
        <v>80</v>
      </c>
      <c r="J57" s="10" t="s">
        <v>66</v>
      </c>
      <c r="K57" s="8" t="s">
        <v>221</v>
      </c>
      <c r="L57" s="8" t="s">
        <v>222</v>
      </c>
      <c r="M57" s="7" t="s">
        <v>173</v>
      </c>
      <c r="N57" s="7" t="s">
        <v>223</v>
      </c>
      <c r="O57" s="7" t="s">
        <v>71</v>
      </c>
      <c r="P57" s="8" t="s">
        <v>397</v>
      </c>
      <c r="Q57" s="7" t="s">
        <v>73</v>
      </c>
      <c r="R57" s="8"/>
      <c r="S57" s="7" t="s">
        <v>225</v>
      </c>
    </row>
    <row r="58" customFormat="false" ht="23.85" hidden="false" customHeight="false" outlineLevel="0" collapsed="false">
      <c r="A58" s="7" t="s">
        <v>398</v>
      </c>
      <c r="B58" s="8" t="s">
        <v>399</v>
      </c>
      <c r="C58" s="7" t="s">
        <v>400</v>
      </c>
      <c r="D58" s="9" t="n">
        <v>2</v>
      </c>
      <c r="E58" s="7" t="s">
        <v>61</v>
      </c>
      <c r="F58" s="7" t="s">
        <v>62</v>
      </c>
      <c r="G58" s="7" t="s">
        <v>63</v>
      </c>
      <c r="H58" s="7" t="s">
        <v>64</v>
      </c>
      <c r="I58" s="8" t="s">
        <v>80</v>
      </c>
      <c r="J58" s="11" t="s">
        <v>94</v>
      </c>
      <c r="K58" s="8" t="s">
        <v>401</v>
      </c>
      <c r="L58" s="8" t="s">
        <v>402</v>
      </c>
      <c r="M58" s="7" t="s">
        <v>403</v>
      </c>
      <c r="N58" s="7" t="s">
        <v>404</v>
      </c>
      <c r="O58" s="7" t="s">
        <v>71</v>
      </c>
      <c r="P58" s="8"/>
      <c r="Q58" s="7" t="s">
        <v>73</v>
      </c>
      <c r="R58" s="8" t="s">
        <v>405</v>
      </c>
      <c r="S58" s="7" t="s">
        <v>406</v>
      </c>
    </row>
    <row r="59" customFormat="false" ht="23.85" hidden="false" customHeight="false" outlineLevel="0" collapsed="false">
      <c r="A59" s="7" t="s">
        <v>407</v>
      </c>
      <c r="B59" s="8" t="s">
        <v>352</v>
      </c>
      <c r="C59" s="7" t="s">
        <v>237</v>
      </c>
      <c r="D59" s="9" t="n">
        <v>3</v>
      </c>
      <c r="E59" s="7" t="s">
        <v>61</v>
      </c>
      <c r="F59" s="7" t="s">
        <v>62</v>
      </c>
      <c r="G59" s="7" t="s">
        <v>63</v>
      </c>
      <c r="H59" s="7" t="s">
        <v>64</v>
      </c>
      <c r="I59" s="8" t="s">
        <v>80</v>
      </c>
      <c r="J59" s="10" t="s">
        <v>66</v>
      </c>
      <c r="K59" s="8" t="s">
        <v>408</v>
      </c>
      <c r="L59" s="8" t="s">
        <v>409</v>
      </c>
      <c r="M59" s="7" t="s">
        <v>403</v>
      </c>
      <c r="N59" s="7" t="s">
        <v>197</v>
      </c>
      <c r="O59" s="7" t="s">
        <v>71</v>
      </c>
      <c r="P59" s="8" t="s">
        <v>410</v>
      </c>
      <c r="Q59" s="7" t="s">
        <v>73</v>
      </c>
      <c r="R59" s="8" t="s">
        <v>411</v>
      </c>
      <c r="S59" s="7" t="s">
        <v>412</v>
      </c>
    </row>
    <row r="60" customFormat="false" ht="23.85" hidden="false" customHeight="false" outlineLevel="0" collapsed="false">
      <c r="A60" s="7" t="s">
        <v>413</v>
      </c>
      <c r="B60" s="8" t="s">
        <v>414</v>
      </c>
      <c r="C60" s="7" t="s">
        <v>237</v>
      </c>
      <c r="D60" s="9" t="n">
        <v>1.5</v>
      </c>
      <c r="E60" s="7" t="s">
        <v>61</v>
      </c>
      <c r="F60" s="7" t="s">
        <v>62</v>
      </c>
      <c r="G60" s="7" t="s">
        <v>63</v>
      </c>
      <c r="H60" s="7" t="s">
        <v>415</v>
      </c>
      <c r="I60" s="8" t="s">
        <v>378</v>
      </c>
      <c r="J60" s="10" t="s">
        <v>66</v>
      </c>
      <c r="K60" s="8" t="s">
        <v>408</v>
      </c>
      <c r="L60" s="8" t="s">
        <v>409</v>
      </c>
      <c r="M60" s="7" t="s">
        <v>403</v>
      </c>
      <c r="N60" s="7" t="s">
        <v>197</v>
      </c>
      <c r="O60" s="7" t="s">
        <v>71</v>
      </c>
      <c r="P60" s="8"/>
      <c r="Q60" s="7" t="s">
        <v>73</v>
      </c>
      <c r="R60" s="8"/>
      <c r="S60" s="7" t="s">
        <v>412</v>
      </c>
    </row>
    <row r="61" customFormat="false" ht="23.85" hidden="false" customHeight="false" outlineLevel="0" collapsed="false">
      <c r="A61" s="7" t="s">
        <v>416</v>
      </c>
      <c r="B61" s="8" t="s">
        <v>417</v>
      </c>
      <c r="C61" s="7" t="s">
        <v>237</v>
      </c>
      <c r="D61" s="9" t="n">
        <v>0.55</v>
      </c>
      <c r="E61" s="7" t="s">
        <v>61</v>
      </c>
      <c r="F61" s="7" t="s">
        <v>62</v>
      </c>
      <c r="G61" s="7" t="s">
        <v>63</v>
      </c>
      <c r="H61" s="7" t="s">
        <v>418</v>
      </c>
      <c r="I61" s="8" t="s">
        <v>378</v>
      </c>
      <c r="J61" s="10" t="s">
        <v>66</v>
      </c>
      <c r="K61" s="8" t="s">
        <v>408</v>
      </c>
      <c r="L61" s="8" t="s">
        <v>409</v>
      </c>
      <c r="M61" s="7" t="s">
        <v>403</v>
      </c>
      <c r="N61" s="7" t="s">
        <v>197</v>
      </c>
      <c r="O61" s="7" t="s">
        <v>71</v>
      </c>
      <c r="P61" s="8"/>
      <c r="Q61" s="7" t="s">
        <v>73</v>
      </c>
      <c r="R61" s="8"/>
      <c r="S61" s="7" t="s">
        <v>412</v>
      </c>
    </row>
    <row r="62" customFormat="false" ht="35.05" hidden="false" customHeight="false" outlineLevel="0" collapsed="false">
      <c r="A62" s="7" t="s">
        <v>419</v>
      </c>
      <c r="B62" s="8" t="s">
        <v>354</v>
      </c>
      <c r="C62" s="7" t="s">
        <v>279</v>
      </c>
      <c r="D62" s="9" t="n">
        <v>6.5</v>
      </c>
      <c r="E62" s="7" t="s">
        <v>61</v>
      </c>
      <c r="F62" s="7" t="s">
        <v>62</v>
      </c>
      <c r="G62" s="7" t="s">
        <v>63</v>
      </c>
      <c r="H62" s="7" t="s">
        <v>64</v>
      </c>
      <c r="I62" s="8" t="s">
        <v>80</v>
      </c>
      <c r="J62" s="11" t="s">
        <v>94</v>
      </c>
      <c r="K62" s="8" t="s">
        <v>179</v>
      </c>
      <c r="L62" s="8" t="s">
        <v>180</v>
      </c>
      <c r="M62" s="7" t="s">
        <v>181</v>
      </c>
      <c r="N62" s="7" t="s">
        <v>182</v>
      </c>
      <c r="O62" s="7" t="s">
        <v>71</v>
      </c>
      <c r="P62" s="8" t="s">
        <v>420</v>
      </c>
      <c r="Q62" s="7" t="s">
        <v>73</v>
      </c>
      <c r="R62" s="8" t="s">
        <v>359</v>
      </c>
      <c r="S62" s="7" t="s">
        <v>185</v>
      </c>
    </row>
    <row r="63" customFormat="false" ht="23.85" hidden="false" customHeight="false" outlineLevel="0" collapsed="false">
      <c r="A63" s="7" t="s">
        <v>421</v>
      </c>
      <c r="B63" s="8" t="s">
        <v>354</v>
      </c>
      <c r="C63" s="7" t="s">
        <v>279</v>
      </c>
      <c r="D63" s="9" t="n">
        <v>35</v>
      </c>
      <c r="E63" s="7" t="s">
        <v>78</v>
      </c>
      <c r="F63" s="7" t="s">
        <v>79</v>
      </c>
      <c r="G63" s="7" t="s">
        <v>63</v>
      </c>
      <c r="H63" s="7" t="s">
        <v>64</v>
      </c>
      <c r="I63" s="8" t="s">
        <v>80</v>
      </c>
      <c r="J63" s="11" t="s">
        <v>94</v>
      </c>
      <c r="K63" s="8" t="s">
        <v>272</v>
      </c>
      <c r="L63" s="8" t="s">
        <v>273</v>
      </c>
      <c r="M63" s="7" t="s">
        <v>196</v>
      </c>
      <c r="N63" s="7" t="s">
        <v>274</v>
      </c>
      <c r="O63" s="7" t="s">
        <v>71</v>
      </c>
      <c r="P63" s="8" t="s">
        <v>422</v>
      </c>
      <c r="Q63" s="7" t="s">
        <v>100</v>
      </c>
      <c r="R63" s="8" t="s">
        <v>366</v>
      </c>
      <c r="S63" s="7" t="s">
        <v>277</v>
      </c>
    </row>
    <row r="64" customFormat="false" ht="35.05" hidden="false" customHeight="false" outlineLevel="0" collapsed="false">
      <c r="A64" s="7" t="s">
        <v>423</v>
      </c>
      <c r="B64" s="8" t="s">
        <v>424</v>
      </c>
      <c r="C64" s="7" t="s">
        <v>425</v>
      </c>
      <c r="D64" s="9" t="n">
        <v>7</v>
      </c>
      <c r="E64" s="7" t="s">
        <v>61</v>
      </c>
      <c r="F64" s="7" t="s">
        <v>62</v>
      </c>
      <c r="G64" s="7" t="s">
        <v>63</v>
      </c>
      <c r="H64" s="7" t="s">
        <v>64</v>
      </c>
      <c r="I64" s="8" t="s">
        <v>378</v>
      </c>
      <c r="J64" s="11" t="s">
        <v>94</v>
      </c>
      <c r="K64" s="8" t="s">
        <v>426</v>
      </c>
      <c r="L64" s="8" t="s">
        <v>427</v>
      </c>
      <c r="M64" s="7" t="s">
        <v>428</v>
      </c>
      <c r="N64" s="7" t="s">
        <v>429</v>
      </c>
      <c r="O64" s="7" t="s">
        <v>71</v>
      </c>
      <c r="P64" s="8"/>
      <c r="Q64" s="7" t="s">
        <v>73</v>
      </c>
      <c r="R64" s="8" t="s">
        <v>430</v>
      </c>
      <c r="S64" s="7" t="s">
        <v>431</v>
      </c>
    </row>
    <row r="65" customFormat="false" ht="35.05" hidden="false" customHeight="false" outlineLevel="0" collapsed="false">
      <c r="A65" s="7" t="s">
        <v>432</v>
      </c>
      <c r="B65" s="8" t="s">
        <v>433</v>
      </c>
      <c r="C65" s="7" t="s">
        <v>279</v>
      </c>
      <c r="D65" s="9" t="n">
        <v>0.55</v>
      </c>
      <c r="E65" s="7" t="s">
        <v>61</v>
      </c>
      <c r="F65" s="7" t="s">
        <v>62</v>
      </c>
      <c r="G65" s="7" t="s">
        <v>63</v>
      </c>
      <c r="H65" s="7" t="s">
        <v>434</v>
      </c>
      <c r="I65" s="8" t="s">
        <v>378</v>
      </c>
      <c r="J65" s="10" t="s">
        <v>66</v>
      </c>
      <c r="K65" s="8" t="s">
        <v>435</v>
      </c>
      <c r="L65" s="8" t="s">
        <v>436</v>
      </c>
      <c r="M65" s="7" t="s">
        <v>364</v>
      </c>
      <c r="N65" s="7" t="s">
        <v>437</v>
      </c>
      <c r="O65" s="7" t="s">
        <v>71</v>
      </c>
      <c r="P65" s="8" t="s">
        <v>438</v>
      </c>
      <c r="Q65" s="7" t="s">
        <v>73</v>
      </c>
      <c r="R65" s="8" t="s">
        <v>439</v>
      </c>
      <c r="S65" s="7" t="s">
        <v>440</v>
      </c>
    </row>
    <row r="66" customFormat="false" ht="23.85" hidden="false" customHeight="false" outlineLevel="0" collapsed="false">
      <c r="A66" s="7" t="s">
        <v>441</v>
      </c>
      <c r="B66" s="8" t="s">
        <v>433</v>
      </c>
      <c r="C66" s="7" t="s">
        <v>279</v>
      </c>
      <c r="D66" s="9" t="n">
        <v>0.65</v>
      </c>
      <c r="E66" s="7" t="s">
        <v>61</v>
      </c>
      <c r="F66" s="7" t="s">
        <v>62</v>
      </c>
      <c r="G66" s="7" t="s">
        <v>63</v>
      </c>
      <c r="H66" s="7" t="s">
        <v>434</v>
      </c>
      <c r="I66" s="8" t="s">
        <v>378</v>
      </c>
      <c r="J66" s="10" t="s">
        <v>66</v>
      </c>
      <c r="K66" s="8" t="s">
        <v>308</v>
      </c>
      <c r="L66" s="8" t="s">
        <v>309</v>
      </c>
      <c r="M66" s="7" t="s">
        <v>97</v>
      </c>
      <c r="N66" s="7" t="s">
        <v>310</v>
      </c>
      <c r="O66" s="7" t="s">
        <v>71</v>
      </c>
      <c r="P66" s="8" t="s">
        <v>442</v>
      </c>
      <c r="Q66" s="7" t="s">
        <v>100</v>
      </c>
      <c r="R66" s="8" t="s">
        <v>443</v>
      </c>
      <c r="S66" s="7" t="s">
        <v>312</v>
      </c>
    </row>
    <row r="67" customFormat="false" ht="23.85" hidden="false" customHeight="false" outlineLevel="0" collapsed="false">
      <c r="A67" s="7" t="s">
        <v>444</v>
      </c>
      <c r="B67" s="8" t="s">
        <v>445</v>
      </c>
      <c r="C67" s="7" t="s">
        <v>446</v>
      </c>
      <c r="D67" s="9" t="n">
        <v>13</v>
      </c>
      <c r="E67" s="7" t="s">
        <v>61</v>
      </c>
      <c r="F67" s="7" t="s">
        <v>62</v>
      </c>
      <c r="G67" s="7" t="s">
        <v>63</v>
      </c>
      <c r="H67" s="7" t="s">
        <v>64</v>
      </c>
      <c r="I67" s="8" t="s">
        <v>378</v>
      </c>
      <c r="J67" s="10" t="s">
        <v>66</v>
      </c>
      <c r="K67" s="8" t="s">
        <v>171</v>
      </c>
      <c r="L67" s="8" t="s">
        <v>172</v>
      </c>
      <c r="M67" s="7" t="s">
        <v>173</v>
      </c>
      <c r="N67" s="7" t="s">
        <v>174</v>
      </c>
      <c r="O67" s="7" t="s">
        <v>71</v>
      </c>
      <c r="P67" s="8"/>
      <c r="Q67" s="7" t="s">
        <v>73</v>
      </c>
      <c r="R67" s="8" t="s">
        <v>447</v>
      </c>
      <c r="S67" s="7" t="s">
        <v>177</v>
      </c>
    </row>
    <row r="68" customFormat="false" ht="23.85" hidden="false" customHeight="false" outlineLevel="0" collapsed="false">
      <c r="A68" s="7" t="s">
        <v>448</v>
      </c>
      <c r="B68" s="8" t="s">
        <v>449</v>
      </c>
      <c r="C68" s="7" t="s">
        <v>450</v>
      </c>
      <c r="D68" s="9" t="n">
        <v>1</v>
      </c>
      <c r="E68" s="7" t="s">
        <v>61</v>
      </c>
      <c r="F68" s="7" t="s">
        <v>62</v>
      </c>
      <c r="G68" s="7" t="s">
        <v>63</v>
      </c>
      <c r="H68" s="7" t="s">
        <v>64</v>
      </c>
      <c r="I68" s="8" t="s">
        <v>378</v>
      </c>
      <c r="J68" s="10" t="s">
        <v>66</v>
      </c>
      <c r="K68" s="8" t="s">
        <v>451</v>
      </c>
      <c r="L68" s="8" t="s">
        <v>452</v>
      </c>
      <c r="M68" s="7" t="s">
        <v>149</v>
      </c>
      <c r="N68" s="7" t="s">
        <v>453</v>
      </c>
      <c r="O68" s="7" t="s">
        <v>71</v>
      </c>
      <c r="P68" s="8"/>
      <c r="Q68" s="7" t="s">
        <v>100</v>
      </c>
      <c r="R68" s="8"/>
      <c r="S68" s="7" t="s">
        <v>454</v>
      </c>
    </row>
  </sheetData>
  <autoFilter ref="A1:S6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4"/>
    <col collapsed="false" customWidth="true" hidden="false" outlineLevel="0" max="3" min="3" style="0" width="16"/>
    <col collapsed="false" customWidth="true" hidden="false" outlineLevel="0" max="4" min="4" style="0" width="12"/>
    <col collapsed="false" customWidth="true" hidden="false" outlineLevel="0" max="5" min="5" style="0" width="16"/>
    <col collapsed="false" customWidth="true" hidden="false" outlineLevel="0" max="6" min="6" style="0" width="9"/>
    <col collapsed="false" customWidth="true" hidden="false" outlineLevel="0" max="7" min="7" style="0" width="11"/>
    <col collapsed="false" customWidth="true" hidden="false" outlineLevel="0" max="8" min="8" style="0" width="18"/>
    <col collapsed="false" customWidth="true" hidden="false" outlineLevel="0" max="9" min="9" style="0" width="34"/>
    <col collapsed="false" customWidth="true" hidden="false" outlineLevel="0" max="10" min="10" style="0" width="16"/>
    <col collapsed="false" customWidth="true" hidden="false" outlineLevel="0" max="11" min="11" style="0" width="48"/>
    <col collapsed="false" customWidth="true" hidden="false" outlineLevel="0" max="12" min="12" style="0" width="46"/>
    <col collapsed="false" customWidth="true" hidden="false" outlineLevel="0" max="13" min="13" style="0" width="28"/>
    <col collapsed="false" customWidth="true" hidden="false" outlineLevel="0" max="14" min="14" style="0" width="16"/>
    <col collapsed="false" customWidth="true" hidden="false" outlineLevel="0" max="15" min="15" style="0" width="12"/>
    <col collapsed="false" customWidth="true" hidden="false" outlineLevel="0" max="16" min="16" style="0" width="50"/>
    <col collapsed="false" customWidth="true" hidden="false" outlineLevel="0" max="17" min="17" style="0" width="10"/>
    <col collapsed="false" customWidth="true" hidden="false" outlineLevel="0" max="18" min="18" style="0" width="56"/>
    <col collapsed="false" customWidth="true" hidden="false" outlineLevel="0" max="19" min="19" style="0" width="9"/>
  </cols>
  <sheetData>
    <row r="1" customFormat="false" ht="30" hidden="false" customHeight="true" outlineLevel="0" collapsed="false">
      <c r="A1" s="6" t="s">
        <v>39</v>
      </c>
      <c r="B1" s="6" t="s">
        <v>40</v>
      </c>
      <c r="C1" s="6" t="s">
        <v>41</v>
      </c>
      <c r="D1" s="6" t="s">
        <v>42</v>
      </c>
      <c r="E1" s="6" t="s">
        <v>43</v>
      </c>
      <c r="F1" s="6" t="s">
        <v>44</v>
      </c>
      <c r="G1" s="6" t="s">
        <v>45</v>
      </c>
      <c r="H1" s="6" t="s">
        <v>46</v>
      </c>
      <c r="I1" s="6" t="s">
        <v>47</v>
      </c>
      <c r="J1" s="6" t="s">
        <v>48</v>
      </c>
      <c r="K1" s="6" t="s">
        <v>49</v>
      </c>
      <c r="L1" s="6" t="s">
        <v>50</v>
      </c>
      <c r="M1" s="6" t="s">
        <v>51</v>
      </c>
      <c r="N1" s="6" t="s">
        <v>52</v>
      </c>
      <c r="O1" s="6" t="s">
        <v>53</v>
      </c>
      <c r="P1" s="6" t="s">
        <v>54</v>
      </c>
      <c r="Q1" s="6" t="s">
        <v>55</v>
      </c>
      <c r="R1" s="6" t="s">
        <v>56</v>
      </c>
      <c r="S1" s="6" t="s">
        <v>57</v>
      </c>
    </row>
    <row r="2" customFormat="false" ht="35.05" hidden="false" customHeight="false" outlineLevel="0" collapsed="false">
      <c r="A2" s="7" t="s">
        <v>455</v>
      </c>
      <c r="B2" s="8" t="s">
        <v>456</v>
      </c>
      <c r="C2" s="7" t="s">
        <v>204</v>
      </c>
      <c r="D2" s="9" t="n">
        <v>52.17</v>
      </c>
      <c r="E2" s="7" t="s">
        <v>457</v>
      </c>
      <c r="F2" s="7" t="s">
        <v>79</v>
      </c>
      <c r="G2" s="7" t="s">
        <v>63</v>
      </c>
      <c r="H2" s="7" t="s">
        <v>458</v>
      </c>
      <c r="I2" s="8" t="s">
        <v>459</v>
      </c>
      <c r="J2" s="10" t="s">
        <v>66</v>
      </c>
      <c r="K2" s="8" t="s">
        <v>460</v>
      </c>
      <c r="L2" s="8" t="s">
        <v>461</v>
      </c>
      <c r="M2" s="7" t="s">
        <v>462</v>
      </c>
      <c r="N2" s="7" t="s">
        <v>463</v>
      </c>
      <c r="O2" s="7" t="s">
        <v>71</v>
      </c>
      <c r="P2" s="8" t="s">
        <v>464</v>
      </c>
      <c r="Q2" s="7" t="s">
        <v>100</v>
      </c>
      <c r="R2" s="8" t="s">
        <v>465</v>
      </c>
      <c r="S2" s="7" t="s">
        <v>466</v>
      </c>
    </row>
    <row r="3" customFormat="false" ht="35.05" hidden="false" customHeight="false" outlineLevel="0" collapsed="false">
      <c r="A3" s="7" t="s">
        <v>467</v>
      </c>
      <c r="B3" s="8" t="s">
        <v>468</v>
      </c>
      <c r="C3" s="7" t="s">
        <v>237</v>
      </c>
      <c r="D3" s="9" t="n">
        <v>58.44</v>
      </c>
      <c r="E3" s="7" t="s">
        <v>457</v>
      </c>
      <c r="F3" s="7" t="s">
        <v>79</v>
      </c>
      <c r="G3" s="7" t="s">
        <v>63</v>
      </c>
      <c r="H3" s="7" t="s">
        <v>458</v>
      </c>
      <c r="I3" s="8" t="s">
        <v>469</v>
      </c>
      <c r="J3" s="10" t="s">
        <v>66</v>
      </c>
      <c r="K3" s="8" t="s">
        <v>460</v>
      </c>
      <c r="L3" s="8" t="s">
        <v>461</v>
      </c>
      <c r="M3" s="7" t="s">
        <v>462</v>
      </c>
      <c r="N3" s="7" t="s">
        <v>463</v>
      </c>
      <c r="O3" s="7" t="s">
        <v>71</v>
      </c>
      <c r="P3" s="8"/>
      <c r="Q3" s="7" t="s">
        <v>100</v>
      </c>
      <c r="R3" s="8"/>
      <c r="S3" s="7" t="s">
        <v>466</v>
      </c>
    </row>
    <row r="4" customFormat="false" ht="35.05" hidden="false" customHeight="false" outlineLevel="0" collapsed="false">
      <c r="A4" s="7" t="s">
        <v>470</v>
      </c>
      <c r="B4" s="8" t="s">
        <v>471</v>
      </c>
      <c r="C4" s="7" t="s">
        <v>237</v>
      </c>
      <c r="D4" s="9" t="n">
        <v>12</v>
      </c>
      <c r="E4" s="7" t="s">
        <v>127</v>
      </c>
      <c r="F4" s="7" t="s">
        <v>79</v>
      </c>
      <c r="G4" s="7" t="s">
        <v>63</v>
      </c>
      <c r="H4" s="7" t="s">
        <v>458</v>
      </c>
      <c r="I4" s="8" t="s">
        <v>472</v>
      </c>
      <c r="J4" s="10" t="s">
        <v>66</v>
      </c>
      <c r="K4" s="8" t="s">
        <v>460</v>
      </c>
      <c r="L4" s="8" t="s">
        <v>461</v>
      </c>
      <c r="M4" s="7" t="s">
        <v>462</v>
      </c>
      <c r="N4" s="7" t="s">
        <v>463</v>
      </c>
      <c r="O4" s="7" t="s">
        <v>71</v>
      </c>
      <c r="P4" s="8" t="s">
        <v>473</v>
      </c>
      <c r="Q4" s="7" t="s">
        <v>100</v>
      </c>
      <c r="R4" s="8"/>
      <c r="S4" s="7" t="s">
        <v>466</v>
      </c>
    </row>
    <row r="5" customFormat="false" ht="35.05" hidden="false" customHeight="false" outlineLevel="0" collapsed="false">
      <c r="A5" s="7" t="s">
        <v>474</v>
      </c>
      <c r="B5" s="8" t="s">
        <v>475</v>
      </c>
      <c r="C5" s="7" t="s">
        <v>237</v>
      </c>
      <c r="D5" s="9" t="n">
        <v>32</v>
      </c>
      <c r="E5" s="7" t="s">
        <v>457</v>
      </c>
      <c r="F5" s="7" t="s">
        <v>79</v>
      </c>
      <c r="G5" s="7" t="s">
        <v>63</v>
      </c>
      <c r="H5" s="7" t="s">
        <v>476</v>
      </c>
      <c r="I5" s="8" t="s">
        <v>477</v>
      </c>
      <c r="J5" s="10" t="s">
        <v>66</v>
      </c>
      <c r="K5" s="8" t="s">
        <v>478</v>
      </c>
      <c r="L5" s="8" t="s">
        <v>479</v>
      </c>
      <c r="M5" s="7" t="s">
        <v>480</v>
      </c>
      <c r="N5" s="7" t="s">
        <v>463</v>
      </c>
      <c r="O5" s="7" t="s">
        <v>71</v>
      </c>
      <c r="P5" s="8" t="s">
        <v>481</v>
      </c>
      <c r="Q5" s="7" t="s">
        <v>100</v>
      </c>
      <c r="R5" s="8" t="s">
        <v>482</v>
      </c>
      <c r="S5" s="7" t="s">
        <v>483</v>
      </c>
    </row>
    <row r="6" customFormat="false" ht="35.05" hidden="false" customHeight="false" outlineLevel="0" collapsed="false">
      <c r="A6" s="7" t="s">
        <v>484</v>
      </c>
      <c r="B6" s="8" t="s">
        <v>485</v>
      </c>
      <c r="C6" s="7" t="s">
        <v>237</v>
      </c>
      <c r="D6" s="9" t="n">
        <v>7</v>
      </c>
      <c r="E6" s="7" t="s">
        <v>127</v>
      </c>
      <c r="F6" s="7" t="s">
        <v>79</v>
      </c>
      <c r="G6" s="7" t="s">
        <v>63</v>
      </c>
      <c r="H6" s="7" t="s">
        <v>476</v>
      </c>
      <c r="I6" s="8" t="s">
        <v>472</v>
      </c>
      <c r="J6" s="10" t="s">
        <v>66</v>
      </c>
      <c r="K6" s="8" t="s">
        <v>478</v>
      </c>
      <c r="L6" s="8" t="s">
        <v>479</v>
      </c>
      <c r="M6" s="7" t="s">
        <v>480</v>
      </c>
      <c r="N6" s="7" t="s">
        <v>463</v>
      </c>
      <c r="O6" s="7" t="s">
        <v>71</v>
      </c>
      <c r="P6" s="8" t="s">
        <v>486</v>
      </c>
      <c r="Q6" s="7" t="s">
        <v>100</v>
      </c>
      <c r="R6" s="8" t="s">
        <v>487</v>
      </c>
      <c r="S6" s="7" t="s">
        <v>483</v>
      </c>
    </row>
    <row r="7" customFormat="false" ht="35.05" hidden="false" customHeight="false" outlineLevel="0" collapsed="false">
      <c r="A7" s="7" t="s">
        <v>488</v>
      </c>
      <c r="B7" s="8" t="s">
        <v>489</v>
      </c>
      <c r="C7" s="7" t="s">
        <v>204</v>
      </c>
      <c r="D7" s="9" t="n">
        <v>4.17</v>
      </c>
      <c r="E7" s="7" t="s">
        <v>457</v>
      </c>
      <c r="F7" s="7" t="s">
        <v>79</v>
      </c>
      <c r="G7" s="7" t="s">
        <v>63</v>
      </c>
      <c r="H7" s="7" t="s">
        <v>458</v>
      </c>
      <c r="I7" s="8" t="s">
        <v>472</v>
      </c>
      <c r="J7" s="10" t="s">
        <v>66</v>
      </c>
      <c r="K7" s="8" t="s">
        <v>460</v>
      </c>
      <c r="L7" s="8" t="s">
        <v>461</v>
      </c>
      <c r="M7" s="7" t="s">
        <v>462</v>
      </c>
      <c r="N7" s="7" t="s">
        <v>463</v>
      </c>
      <c r="O7" s="7" t="s">
        <v>71</v>
      </c>
      <c r="P7" s="8"/>
      <c r="Q7" s="7" t="s">
        <v>100</v>
      </c>
      <c r="R7" s="8"/>
      <c r="S7" s="7" t="s">
        <v>466</v>
      </c>
    </row>
    <row r="8" customFormat="false" ht="35.05" hidden="false" customHeight="false" outlineLevel="0" collapsed="false">
      <c r="A8" s="7" t="s">
        <v>490</v>
      </c>
      <c r="B8" s="8" t="s">
        <v>489</v>
      </c>
      <c r="C8" s="7" t="s">
        <v>237</v>
      </c>
      <c r="D8" s="9" t="n">
        <v>3.54</v>
      </c>
      <c r="E8" s="7" t="s">
        <v>457</v>
      </c>
      <c r="F8" s="7" t="s">
        <v>79</v>
      </c>
      <c r="G8" s="7" t="s">
        <v>63</v>
      </c>
      <c r="H8" s="7" t="s">
        <v>458</v>
      </c>
      <c r="I8" s="8" t="s">
        <v>472</v>
      </c>
      <c r="J8" s="10" t="s">
        <v>66</v>
      </c>
      <c r="K8" s="8" t="s">
        <v>460</v>
      </c>
      <c r="L8" s="8" t="s">
        <v>461</v>
      </c>
      <c r="M8" s="7" t="s">
        <v>462</v>
      </c>
      <c r="N8" s="7" t="s">
        <v>463</v>
      </c>
      <c r="O8" s="7" t="s">
        <v>71</v>
      </c>
      <c r="P8" s="8" t="s">
        <v>491</v>
      </c>
      <c r="Q8" s="7" t="s">
        <v>100</v>
      </c>
      <c r="R8" s="8"/>
      <c r="S8" s="7" t="s">
        <v>466</v>
      </c>
    </row>
    <row r="9" customFormat="false" ht="35.05" hidden="false" customHeight="false" outlineLevel="0" collapsed="false">
      <c r="A9" s="7" t="s">
        <v>492</v>
      </c>
      <c r="B9" s="8" t="s">
        <v>493</v>
      </c>
      <c r="C9" s="7" t="s">
        <v>204</v>
      </c>
      <c r="D9" s="9" t="n">
        <v>8</v>
      </c>
      <c r="E9" s="7" t="s">
        <v>127</v>
      </c>
      <c r="F9" s="7" t="s">
        <v>79</v>
      </c>
      <c r="G9" s="7" t="s">
        <v>63</v>
      </c>
      <c r="H9" s="7" t="s">
        <v>458</v>
      </c>
      <c r="I9" s="8" t="s">
        <v>472</v>
      </c>
      <c r="J9" s="10" t="s">
        <v>66</v>
      </c>
      <c r="K9" s="8" t="s">
        <v>460</v>
      </c>
      <c r="L9" s="8" t="s">
        <v>461</v>
      </c>
      <c r="M9" s="7" t="s">
        <v>462</v>
      </c>
      <c r="N9" s="7" t="s">
        <v>463</v>
      </c>
      <c r="O9" s="7" t="s">
        <v>71</v>
      </c>
      <c r="P9" s="8"/>
      <c r="Q9" s="7" t="s">
        <v>100</v>
      </c>
      <c r="R9" s="8"/>
      <c r="S9" s="7" t="s">
        <v>466</v>
      </c>
    </row>
    <row r="10" customFormat="false" ht="35.05" hidden="false" customHeight="false" outlineLevel="0" collapsed="false">
      <c r="A10" s="7" t="s">
        <v>494</v>
      </c>
      <c r="B10" s="8" t="s">
        <v>493</v>
      </c>
      <c r="C10" s="7" t="s">
        <v>237</v>
      </c>
      <c r="D10" s="9" t="n">
        <v>6</v>
      </c>
      <c r="E10" s="7" t="s">
        <v>127</v>
      </c>
      <c r="F10" s="7" t="s">
        <v>79</v>
      </c>
      <c r="G10" s="7" t="s">
        <v>63</v>
      </c>
      <c r="H10" s="7" t="s">
        <v>458</v>
      </c>
      <c r="I10" s="8" t="s">
        <v>472</v>
      </c>
      <c r="J10" s="10" t="s">
        <v>66</v>
      </c>
      <c r="K10" s="8" t="s">
        <v>460</v>
      </c>
      <c r="L10" s="8" t="s">
        <v>461</v>
      </c>
      <c r="M10" s="7" t="s">
        <v>462</v>
      </c>
      <c r="N10" s="7" t="s">
        <v>463</v>
      </c>
      <c r="O10" s="7" t="s">
        <v>71</v>
      </c>
      <c r="P10" s="8"/>
      <c r="Q10" s="7" t="s">
        <v>100</v>
      </c>
      <c r="R10" s="8"/>
      <c r="S10" s="7" t="s">
        <v>466</v>
      </c>
    </row>
    <row r="11" customFormat="false" ht="35.05" hidden="false" customHeight="false" outlineLevel="0" collapsed="false">
      <c r="A11" s="7" t="s">
        <v>495</v>
      </c>
      <c r="B11" s="8" t="s">
        <v>496</v>
      </c>
      <c r="C11" s="7" t="s">
        <v>204</v>
      </c>
      <c r="D11" s="9" t="n">
        <v>185000</v>
      </c>
      <c r="E11" s="7" t="s">
        <v>497</v>
      </c>
      <c r="F11" s="7" t="s">
        <v>341</v>
      </c>
      <c r="G11" s="7" t="s">
        <v>63</v>
      </c>
      <c r="H11" s="7" t="s">
        <v>458</v>
      </c>
      <c r="I11" s="8" t="s">
        <v>472</v>
      </c>
      <c r="J11" s="10" t="s">
        <v>66</v>
      </c>
      <c r="K11" s="8" t="s">
        <v>460</v>
      </c>
      <c r="L11" s="8" t="s">
        <v>461</v>
      </c>
      <c r="M11" s="7" t="s">
        <v>462</v>
      </c>
      <c r="N11" s="7" t="s">
        <v>463</v>
      </c>
      <c r="O11" s="7" t="s">
        <v>71</v>
      </c>
      <c r="P11" s="8"/>
      <c r="Q11" s="7" t="s">
        <v>100</v>
      </c>
      <c r="R11" s="8"/>
      <c r="S11" s="7" t="s">
        <v>466</v>
      </c>
    </row>
    <row r="12" customFormat="false" ht="35.05" hidden="false" customHeight="false" outlineLevel="0" collapsed="false">
      <c r="A12" s="7" t="s">
        <v>498</v>
      </c>
      <c r="B12" s="8" t="s">
        <v>496</v>
      </c>
      <c r="C12" s="7" t="s">
        <v>237</v>
      </c>
      <c r="D12" s="9" t="n">
        <v>195000</v>
      </c>
      <c r="E12" s="7" t="s">
        <v>497</v>
      </c>
      <c r="F12" s="7" t="s">
        <v>341</v>
      </c>
      <c r="G12" s="7" t="s">
        <v>63</v>
      </c>
      <c r="H12" s="7" t="s">
        <v>458</v>
      </c>
      <c r="I12" s="8" t="s">
        <v>472</v>
      </c>
      <c r="J12" s="10" t="s">
        <v>66</v>
      </c>
      <c r="K12" s="8" t="s">
        <v>460</v>
      </c>
      <c r="L12" s="8" t="s">
        <v>461</v>
      </c>
      <c r="M12" s="7" t="s">
        <v>462</v>
      </c>
      <c r="N12" s="7" t="s">
        <v>463</v>
      </c>
      <c r="O12" s="7" t="s">
        <v>71</v>
      </c>
      <c r="P12" s="8"/>
      <c r="Q12" s="7" t="s">
        <v>100</v>
      </c>
      <c r="R12" s="8"/>
      <c r="S12" s="7" t="s">
        <v>466</v>
      </c>
    </row>
    <row r="13" customFormat="false" ht="35.05" hidden="false" customHeight="false" outlineLevel="0" collapsed="false">
      <c r="A13" s="7" t="s">
        <v>499</v>
      </c>
      <c r="B13" s="8" t="s">
        <v>500</v>
      </c>
      <c r="C13" s="7" t="s">
        <v>237</v>
      </c>
      <c r="D13" s="9" t="n">
        <v>123000</v>
      </c>
      <c r="E13" s="7" t="s">
        <v>497</v>
      </c>
      <c r="F13" s="7" t="s">
        <v>341</v>
      </c>
      <c r="G13" s="7" t="s">
        <v>63</v>
      </c>
      <c r="H13" s="7" t="s">
        <v>476</v>
      </c>
      <c r="I13" s="8" t="s">
        <v>472</v>
      </c>
      <c r="J13" s="10" t="s">
        <v>66</v>
      </c>
      <c r="K13" s="8" t="s">
        <v>460</v>
      </c>
      <c r="L13" s="8" t="s">
        <v>461</v>
      </c>
      <c r="M13" s="7" t="s">
        <v>462</v>
      </c>
      <c r="N13" s="7" t="s">
        <v>463</v>
      </c>
      <c r="O13" s="7" t="s">
        <v>71</v>
      </c>
      <c r="P13" s="8"/>
      <c r="Q13" s="7" t="s">
        <v>100</v>
      </c>
      <c r="R13" s="8"/>
      <c r="S13" s="7" t="s">
        <v>466</v>
      </c>
    </row>
    <row r="14" customFormat="false" ht="23.85" hidden="false" customHeight="false" outlineLevel="0" collapsed="false">
      <c r="A14" s="7" t="s">
        <v>501</v>
      </c>
      <c r="B14" s="8" t="s">
        <v>502</v>
      </c>
      <c r="C14" s="7" t="s">
        <v>237</v>
      </c>
      <c r="D14" s="9" t="n">
        <v>18650</v>
      </c>
      <c r="E14" s="7" t="s">
        <v>503</v>
      </c>
      <c r="F14" s="7" t="s">
        <v>341</v>
      </c>
      <c r="G14" s="7" t="s">
        <v>63</v>
      </c>
      <c r="H14" s="7" t="s">
        <v>504</v>
      </c>
      <c r="I14" s="8" t="s">
        <v>505</v>
      </c>
      <c r="J14" s="10" t="s">
        <v>66</v>
      </c>
      <c r="K14" s="8" t="s">
        <v>506</v>
      </c>
      <c r="L14" s="8" t="s">
        <v>507</v>
      </c>
      <c r="M14" s="7" t="s">
        <v>508</v>
      </c>
      <c r="N14" s="7" t="s">
        <v>463</v>
      </c>
      <c r="O14" s="7" t="s">
        <v>71</v>
      </c>
      <c r="P14" s="8"/>
      <c r="Q14" s="7" t="s">
        <v>100</v>
      </c>
      <c r="R14" s="8" t="s">
        <v>509</v>
      </c>
      <c r="S14" s="7" t="s">
        <v>510</v>
      </c>
    </row>
    <row r="15" customFormat="false" ht="35.05" hidden="false" customHeight="false" outlineLevel="0" collapsed="false">
      <c r="A15" s="7" t="s">
        <v>511</v>
      </c>
      <c r="B15" s="8" t="s">
        <v>512</v>
      </c>
      <c r="C15" s="7" t="s">
        <v>513</v>
      </c>
      <c r="D15" s="9" t="n">
        <v>33000</v>
      </c>
      <c r="E15" s="7" t="s">
        <v>514</v>
      </c>
      <c r="F15" s="7" t="s">
        <v>341</v>
      </c>
      <c r="G15" s="7" t="s">
        <v>63</v>
      </c>
      <c r="H15" s="7" t="s">
        <v>515</v>
      </c>
      <c r="I15" s="8" t="s">
        <v>516</v>
      </c>
      <c r="J15" s="13" t="s">
        <v>193</v>
      </c>
      <c r="K15" s="8" t="s">
        <v>517</v>
      </c>
      <c r="L15" s="8" t="s">
        <v>518</v>
      </c>
      <c r="M15" s="7" t="s">
        <v>519</v>
      </c>
      <c r="N15" s="7" t="s">
        <v>429</v>
      </c>
      <c r="O15" s="7" t="s">
        <v>71</v>
      </c>
      <c r="P15" s="8" t="s">
        <v>520</v>
      </c>
      <c r="Q15" s="7" t="s">
        <v>199</v>
      </c>
      <c r="R15" s="8" t="s">
        <v>521</v>
      </c>
      <c r="S15" s="7" t="s">
        <v>522</v>
      </c>
    </row>
    <row r="16" customFormat="false" ht="35.05" hidden="false" customHeight="false" outlineLevel="0" collapsed="false">
      <c r="A16" s="7" t="s">
        <v>523</v>
      </c>
      <c r="B16" s="8" t="s">
        <v>524</v>
      </c>
      <c r="C16" s="7" t="s">
        <v>204</v>
      </c>
      <c r="D16" s="9" t="n">
        <v>7.3</v>
      </c>
      <c r="E16" s="7" t="s">
        <v>525</v>
      </c>
      <c r="F16" s="7" t="s">
        <v>62</v>
      </c>
      <c r="G16" s="7" t="s">
        <v>63</v>
      </c>
      <c r="H16" s="7" t="s">
        <v>515</v>
      </c>
      <c r="I16" s="8" t="s">
        <v>526</v>
      </c>
      <c r="J16" s="13" t="s">
        <v>193</v>
      </c>
      <c r="K16" s="8" t="s">
        <v>517</v>
      </c>
      <c r="L16" s="8" t="s">
        <v>518</v>
      </c>
      <c r="M16" s="7" t="s">
        <v>519</v>
      </c>
      <c r="N16" s="7" t="s">
        <v>429</v>
      </c>
      <c r="O16" s="7" t="s">
        <v>71</v>
      </c>
      <c r="P16" s="8"/>
      <c r="Q16" s="7" t="s">
        <v>199</v>
      </c>
      <c r="R16" s="8" t="s">
        <v>527</v>
      </c>
      <c r="S16" s="7" t="s">
        <v>522</v>
      </c>
    </row>
    <row r="17" customFormat="false" ht="35.05" hidden="false" customHeight="false" outlineLevel="0" collapsed="false">
      <c r="A17" s="7" t="s">
        <v>528</v>
      </c>
      <c r="B17" s="8" t="s">
        <v>524</v>
      </c>
      <c r="C17" s="7" t="s">
        <v>237</v>
      </c>
      <c r="D17" s="9" t="n">
        <v>7.8</v>
      </c>
      <c r="E17" s="7" t="s">
        <v>525</v>
      </c>
      <c r="F17" s="7" t="s">
        <v>62</v>
      </c>
      <c r="G17" s="7" t="s">
        <v>63</v>
      </c>
      <c r="H17" s="7" t="s">
        <v>515</v>
      </c>
      <c r="I17" s="8" t="s">
        <v>526</v>
      </c>
      <c r="J17" s="13" t="s">
        <v>193</v>
      </c>
      <c r="K17" s="8" t="s">
        <v>517</v>
      </c>
      <c r="L17" s="8" t="s">
        <v>518</v>
      </c>
      <c r="M17" s="7" t="s">
        <v>519</v>
      </c>
      <c r="N17" s="7" t="s">
        <v>429</v>
      </c>
      <c r="O17" s="7" t="s">
        <v>71</v>
      </c>
      <c r="P17" s="8"/>
      <c r="Q17" s="7" t="s">
        <v>199</v>
      </c>
      <c r="R17" s="8" t="s">
        <v>529</v>
      </c>
      <c r="S17" s="7" t="s">
        <v>522</v>
      </c>
    </row>
    <row r="18" customFormat="false" ht="35.05" hidden="false" customHeight="false" outlineLevel="0" collapsed="false">
      <c r="A18" s="7" t="s">
        <v>530</v>
      </c>
      <c r="B18" s="8" t="s">
        <v>531</v>
      </c>
      <c r="C18" s="7" t="s">
        <v>237</v>
      </c>
      <c r="D18" s="9" t="n">
        <v>27</v>
      </c>
      <c r="E18" s="7" t="s">
        <v>127</v>
      </c>
      <c r="F18" s="7" t="s">
        <v>341</v>
      </c>
      <c r="G18" s="7" t="s">
        <v>63</v>
      </c>
      <c r="H18" s="7" t="s">
        <v>532</v>
      </c>
      <c r="I18" s="8" t="s">
        <v>533</v>
      </c>
      <c r="J18" s="13" t="s">
        <v>193</v>
      </c>
      <c r="K18" s="8" t="s">
        <v>517</v>
      </c>
      <c r="L18" s="8" t="s">
        <v>518</v>
      </c>
      <c r="M18" s="7" t="s">
        <v>519</v>
      </c>
      <c r="N18" s="7" t="s">
        <v>429</v>
      </c>
      <c r="O18" s="7" t="s">
        <v>71</v>
      </c>
      <c r="P18" s="8" t="s">
        <v>534</v>
      </c>
      <c r="Q18" s="7" t="s">
        <v>199</v>
      </c>
      <c r="R18" s="8"/>
      <c r="S18" s="7" t="s">
        <v>522</v>
      </c>
    </row>
    <row r="19" customFormat="false" ht="35.05" hidden="false" customHeight="false" outlineLevel="0" collapsed="false">
      <c r="A19" s="7" t="s">
        <v>535</v>
      </c>
      <c r="B19" s="8" t="s">
        <v>536</v>
      </c>
      <c r="C19" s="7" t="s">
        <v>204</v>
      </c>
      <c r="D19" s="9" t="n">
        <v>-1.6</v>
      </c>
      <c r="E19" s="7" t="s">
        <v>537</v>
      </c>
      <c r="F19" s="7" t="s">
        <v>538</v>
      </c>
      <c r="G19" s="7" t="s">
        <v>63</v>
      </c>
      <c r="H19" s="7" t="s">
        <v>539</v>
      </c>
      <c r="I19" s="8" t="s">
        <v>540</v>
      </c>
      <c r="J19" s="10" t="s">
        <v>66</v>
      </c>
      <c r="K19" s="8" t="s">
        <v>541</v>
      </c>
      <c r="L19" s="8" t="s">
        <v>542</v>
      </c>
      <c r="M19" s="7" t="s">
        <v>543</v>
      </c>
      <c r="N19" s="7" t="s">
        <v>544</v>
      </c>
      <c r="O19" s="7" t="s">
        <v>71</v>
      </c>
      <c r="P19" s="8" t="s">
        <v>545</v>
      </c>
      <c r="Q19" s="7" t="s">
        <v>73</v>
      </c>
      <c r="R19" s="8" t="s">
        <v>546</v>
      </c>
      <c r="S19" s="7" t="s">
        <v>547</v>
      </c>
    </row>
    <row r="20" customFormat="false" ht="35.05" hidden="false" customHeight="false" outlineLevel="0" collapsed="false">
      <c r="A20" s="7" t="s">
        <v>548</v>
      </c>
      <c r="B20" s="8" t="s">
        <v>549</v>
      </c>
      <c r="C20" s="7" t="s">
        <v>237</v>
      </c>
      <c r="D20" s="9" t="n">
        <v>98.1</v>
      </c>
      <c r="E20" s="7" t="s">
        <v>550</v>
      </c>
      <c r="F20" s="7" t="s">
        <v>538</v>
      </c>
      <c r="G20" s="7" t="s">
        <v>63</v>
      </c>
      <c r="H20" s="7" t="s">
        <v>551</v>
      </c>
      <c r="I20" s="8" t="s">
        <v>552</v>
      </c>
      <c r="J20" s="10" t="s">
        <v>66</v>
      </c>
      <c r="K20" s="8" t="s">
        <v>553</v>
      </c>
      <c r="L20" s="8" t="s">
        <v>554</v>
      </c>
      <c r="M20" s="7" t="s">
        <v>555</v>
      </c>
      <c r="N20" s="7" t="s">
        <v>556</v>
      </c>
      <c r="O20" s="7" t="s">
        <v>71</v>
      </c>
      <c r="P20" s="8"/>
      <c r="Q20" s="7" t="s">
        <v>73</v>
      </c>
      <c r="R20" s="8" t="s">
        <v>557</v>
      </c>
      <c r="S20" s="7" t="s">
        <v>558</v>
      </c>
    </row>
    <row r="21" customFormat="false" ht="23.85" hidden="false" customHeight="false" outlineLevel="0" collapsed="false">
      <c r="A21" s="7" t="s">
        <v>559</v>
      </c>
      <c r="B21" s="8" t="s">
        <v>560</v>
      </c>
      <c r="C21" s="7" t="s">
        <v>271</v>
      </c>
      <c r="D21" s="9" t="n">
        <v>-12</v>
      </c>
      <c r="E21" s="7" t="s">
        <v>537</v>
      </c>
      <c r="F21" s="7" t="s">
        <v>538</v>
      </c>
      <c r="G21" s="7" t="s">
        <v>63</v>
      </c>
      <c r="H21" s="7" t="s">
        <v>551</v>
      </c>
      <c r="I21" s="8" t="s">
        <v>552</v>
      </c>
      <c r="J21" s="10" t="s">
        <v>66</v>
      </c>
      <c r="K21" s="8" t="s">
        <v>561</v>
      </c>
      <c r="L21" s="8" t="s">
        <v>562</v>
      </c>
      <c r="M21" s="7" t="s">
        <v>563</v>
      </c>
      <c r="N21" s="7" t="s">
        <v>463</v>
      </c>
      <c r="O21" s="7" t="s">
        <v>71</v>
      </c>
      <c r="P21" s="8"/>
      <c r="Q21" s="7" t="s">
        <v>73</v>
      </c>
      <c r="R21" s="8" t="s">
        <v>564</v>
      </c>
      <c r="S21" s="7" t="s">
        <v>565</v>
      </c>
    </row>
    <row r="22" customFormat="false" ht="23.85" hidden="false" customHeight="false" outlineLevel="0" collapsed="false">
      <c r="A22" s="7" t="s">
        <v>566</v>
      </c>
      <c r="B22" s="8" t="s">
        <v>560</v>
      </c>
      <c r="C22" s="7" t="s">
        <v>567</v>
      </c>
      <c r="D22" s="9" t="n">
        <v>-13.3</v>
      </c>
      <c r="E22" s="7" t="s">
        <v>537</v>
      </c>
      <c r="F22" s="7" t="s">
        <v>538</v>
      </c>
      <c r="G22" s="7" t="s">
        <v>63</v>
      </c>
      <c r="H22" s="7" t="s">
        <v>551</v>
      </c>
      <c r="I22" s="8" t="s">
        <v>552</v>
      </c>
      <c r="J22" s="10" t="s">
        <v>66</v>
      </c>
      <c r="K22" s="8" t="s">
        <v>561</v>
      </c>
      <c r="L22" s="8" t="s">
        <v>562</v>
      </c>
      <c r="M22" s="7" t="s">
        <v>563</v>
      </c>
      <c r="N22" s="7" t="s">
        <v>463</v>
      </c>
      <c r="O22" s="7" t="s">
        <v>71</v>
      </c>
      <c r="P22" s="8" t="s">
        <v>568</v>
      </c>
      <c r="Q22" s="7" t="s">
        <v>73</v>
      </c>
      <c r="R22" s="8"/>
      <c r="S22" s="7" t="s">
        <v>565</v>
      </c>
    </row>
    <row r="23" customFormat="false" ht="23.85" hidden="false" customHeight="false" outlineLevel="0" collapsed="false">
      <c r="A23" s="7" t="s">
        <v>569</v>
      </c>
      <c r="B23" s="8" t="s">
        <v>560</v>
      </c>
      <c r="C23" s="7" t="s">
        <v>570</v>
      </c>
      <c r="D23" s="9" t="n">
        <v>-11.9</v>
      </c>
      <c r="E23" s="7" t="s">
        <v>537</v>
      </c>
      <c r="F23" s="7" t="s">
        <v>538</v>
      </c>
      <c r="G23" s="7" t="s">
        <v>63</v>
      </c>
      <c r="H23" s="7" t="s">
        <v>551</v>
      </c>
      <c r="I23" s="8" t="s">
        <v>552</v>
      </c>
      <c r="J23" s="10" t="s">
        <v>66</v>
      </c>
      <c r="K23" s="8" t="s">
        <v>561</v>
      </c>
      <c r="L23" s="8" t="s">
        <v>562</v>
      </c>
      <c r="M23" s="7" t="s">
        <v>563</v>
      </c>
      <c r="N23" s="7" t="s">
        <v>463</v>
      </c>
      <c r="O23" s="7" t="s">
        <v>71</v>
      </c>
      <c r="P23" s="8"/>
      <c r="Q23" s="7" t="s">
        <v>73</v>
      </c>
      <c r="R23" s="8"/>
      <c r="S23" s="7" t="s">
        <v>565</v>
      </c>
    </row>
    <row r="24" customFormat="false" ht="23.85" hidden="false" customHeight="false" outlineLevel="0" collapsed="false">
      <c r="A24" s="7" t="s">
        <v>571</v>
      </c>
      <c r="B24" s="8" t="s">
        <v>560</v>
      </c>
      <c r="C24" s="7" t="s">
        <v>572</v>
      </c>
      <c r="D24" s="9" t="n">
        <v>-15.8</v>
      </c>
      <c r="E24" s="7" t="s">
        <v>537</v>
      </c>
      <c r="F24" s="7" t="s">
        <v>538</v>
      </c>
      <c r="G24" s="7" t="s">
        <v>63</v>
      </c>
      <c r="H24" s="7" t="s">
        <v>551</v>
      </c>
      <c r="I24" s="8" t="s">
        <v>552</v>
      </c>
      <c r="J24" s="10" t="s">
        <v>66</v>
      </c>
      <c r="K24" s="8" t="s">
        <v>561</v>
      </c>
      <c r="L24" s="8" t="s">
        <v>562</v>
      </c>
      <c r="M24" s="7" t="s">
        <v>563</v>
      </c>
      <c r="N24" s="7" t="s">
        <v>463</v>
      </c>
      <c r="O24" s="7" t="s">
        <v>71</v>
      </c>
      <c r="P24" s="8"/>
      <c r="Q24" s="7" t="s">
        <v>73</v>
      </c>
      <c r="R24" s="8" t="s">
        <v>573</v>
      </c>
      <c r="S24" s="7" t="s">
        <v>565</v>
      </c>
    </row>
    <row r="25" customFormat="false" ht="23.85" hidden="false" customHeight="false" outlineLevel="0" collapsed="false">
      <c r="A25" s="7" t="s">
        <v>574</v>
      </c>
      <c r="B25" s="8" t="s">
        <v>575</v>
      </c>
      <c r="C25" s="7" t="s">
        <v>160</v>
      </c>
      <c r="D25" s="9" t="n">
        <v>5574.25</v>
      </c>
      <c r="E25" s="7" t="s">
        <v>61</v>
      </c>
      <c r="F25" s="7" t="s">
        <v>62</v>
      </c>
      <c r="G25" s="7" t="s">
        <v>63</v>
      </c>
      <c r="H25" s="7" t="s">
        <v>576</v>
      </c>
      <c r="I25" s="8" t="s">
        <v>577</v>
      </c>
      <c r="J25" s="10" t="s">
        <v>66</v>
      </c>
      <c r="K25" s="8" t="s">
        <v>578</v>
      </c>
      <c r="L25" s="8" t="s">
        <v>579</v>
      </c>
      <c r="M25" s="7" t="s">
        <v>580</v>
      </c>
      <c r="N25" s="7" t="s">
        <v>581</v>
      </c>
      <c r="O25" s="7" t="s">
        <v>71</v>
      </c>
      <c r="P25" s="8"/>
      <c r="Q25" s="7" t="s">
        <v>100</v>
      </c>
      <c r="R25" s="8" t="s">
        <v>582</v>
      </c>
      <c r="S25" s="7" t="s">
        <v>583</v>
      </c>
    </row>
    <row r="26" customFormat="false" ht="23.85" hidden="false" customHeight="false" outlineLevel="0" collapsed="false">
      <c r="A26" s="7" t="s">
        <v>584</v>
      </c>
      <c r="B26" s="8" t="s">
        <v>585</v>
      </c>
      <c r="C26" s="7" t="s">
        <v>155</v>
      </c>
      <c r="D26" s="9" t="n">
        <v>4.34</v>
      </c>
      <c r="E26" s="7" t="s">
        <v>525</v>
      </c>
      <c r="F26" s="7" t="s">
        <v>62</v>
      </c>
      <c r="G26" s="7" t="s">
        <v>63</v>
      </c>
      <c r="H26" s="7" t="s">
        <v>576</v>
      </c>
      <c r="I26" s="8" t="s">
        <v>586</v>
      </c>
      <c r="J26" s="10" t="s">
        <v>66</v>
      </c>
      <c r="K26" s="8" t="s">
        <v>578</v>
      </c>
      <c r="L26" s="8" t="s">
        <v>579</v>
      </c>
      <c r="M26" s="7" t="s">
        <v>580</v>
      </c>
      <c r="N26" s="7" t="s">
        <v>581</v>
      </c>
      <c r="O26" s="7" t="s">
        <v>71</v>
      </c>
      <c r="P26" s="8"/>
      <c r="Q26" s="7" t="s">
        <v>100</v>
      </c>
      <c r="R26" s="8" t="s">
        <v>587</v>
      </c>
      <c r="S26" s="7" t="s">
        <v>583</v>
      </c>
    </row>
    <row r="27" customFormat="false" ht="23.85" hidden="false" customHeight="false" outlineLevel="0" collapsed="false">
      <c r="A27" s="7" t="s">
        <v>588</v>
      </c>
      <c r="B27" s="8" t="s">
        <v>585</v>
      </c>
      <c r="C27" s="7" t="s">
        <v>160</v>
      </c>
      <c r="D27" s="9" t="n">
        <v>5.65</v>
      </c>
      <c r="E27" s="7" t="s">
        <v>525</v>
      </c>
      <c r="F27" s="7" t="s">
        <v>62</v>
      </c>
      <c r="G27" s="7" t="s">
        <v>63</v>
      </c>
      <c r="H27" s="7" t="s">
        <v>576</v>
      </c>
      <c r="I27" s="8" t="s">
        <v>586</v>
      </c>
      <c r="J27" s="10" t="s">
        <v>66</v>
      </c>
      <c r="K27" s="8" t="s">
        <v>578</v>
      </c>
      <c r="L27" s="8" t="s">
        <v>579</v>
      </c>
      <c r="M27" s="7" t="s">
        <v>580</v>
      </c>
      <c r="N27" s="7" t="s">
        <v>581</v>
      </c>
      <c r="O27" s="7" t="s">
        <v>71</v>
      </c>
      <c r="P27" s="8"/>
      <c r="Q27" s="7" t="s">
        <v>100</v>
      </c>
      <c r="R27" s="8"/>
      <c r="S27" s="7" t="s">
        <v>583</v>
      </c>
    </row>
    <row r="28" customFormat="false" ht="23.85" hidden="false" customHeight="false" outlineLevel="0" collapsed="false">
      <c r="A28" s="7" t="s">
        <v>589</v>
      </c>
      <c r="B28" s="8" t="s">
        <v>585</v>
      </c>
      <c r="C28" s="7" t="s">
        <v>167</v>
      </c>
      <c r="D28" s="9" t="n">
        <v>6.54</v>
      </c>
      <c r="E28" s="7" t="s">
        <v>525</v>
      </c>
      <c r="F28" s="7" t="s">
        <v>62</v>
      </c>
      <c r="G28" s="7" t="s">
        <v>63</v>
      </c>
      <c r="H28" s="7" t="s">
        <v>576</v>
      </c>
      <c r="I28" s="8" t="s">
        <v>586</v>
      </c>
      <c r="J28" s="10" t="s">
        <v>66</v>
      </c>
      <c r="K28" s="8" t="s">
        <v>578</v>
      </c>
      <c r="L28" s="8" t="s">
        <v>579</v>
      </c>
      <c r="M28" s="7" t="s">
        <v>580</v>
      </c>
      <c r="N28" s="7" t="s">
        <v>581</v>
      </c>
      <c r="O28" s="7" t="s">
        <v>71</v>
      </c>
      <c r="P28" s="8" t="s">
        <v>590</v>
      </c>
      <c r="Q28" s="7" t="s">
        <v>100</v>
      </c>
      <c r="R28" s="8"/>
      <c r="S28" s="7" t="s">
        <v>583</v>
      </c>
    </row>
    <row r="29" customFormat="false" ht="46.25" hidden="false" customHeight="false" outlineLevel="0" collapsed="false">
      <c r="A29" s="7" t="s">
        <v>591</v>
      </c>
      <c r="B29" s="8" t="s">
        <v>592</v>
      </c>
      <c r="C29" s="7" t="s">
        <v>155</v>
      </c>
      <c r="D29" s="9" t="n">
        <v>14.43</v>
      </c>
      <c r="E29" s="7" t="s">
        <v>457</v>
      </c>
      <c r="F29" s="7" t="s">
        <v>79</v>
      </c>
      <c r="G29" s="7" t="s">
        <v>63</v>
      </c>
      <c r="H29" s="7" t="s">
        <v>593</v>
      </c>
      <c r="I29" s="8" t="s">
        <v>472</v>
      </c>
      <c r="J29" s="13" t="s">
        <v>193</v>
      </c>
      <c r="K29" s="8" t="s">
        <v>594</v>
      </c>
      <c r="L29" s="8" t="s">
        <v>595</v>
      </c>
      <c r="M29" s="7" t="s">
        <v>596</v>
      </c>
      <c r="N29" s="7" t="s">
        <v>597</v>
      </c>
      <c r="O29" s="7" t="s">
        <v>71</v>
      </c>
      <c r="P29" s="8"/>
      <c r="Q29" s="7" t="s">
        <v>199</v>
      </c>
      <c r="R29" s="8" t="s">
        <v>598</v>
      </c>
      <c r="S29" s="7" t="s">
        <v>599</v>
      </c>
    </row>
    <row r="30" customFormat="false" ht="46.25" hidden="false" customHeight="false" outlineLevel="0" collapsed="false">
      <c r="A30" s="7" t="s">
        <v>600</v>
      </c>
      <c r="B30" s="8" t="s">
        <v>592</v>
      </c>
      <c r="C30" s="7" t="s">
        <v>160</v>
      </c>
      <c r="D30" s="9" t="n">
        <v>19.95</v>
      </c>
      <c r="E30" s="7" t="s">
        <v>457</v>
      </c>
      <c r="F30" s="7" t="s">
        <v>79</v>
      </c>
      <c r="G30" s="7" t="s">
        <v>63</v>
      </c>
      <c r="H30" s="7" t="s">
        <v>593</v>
      </c>
      <c r="I30" s="8" t="s">
        <v>472</v>
      </c>
      <c r="J30" s="13" t="s">
        <v>193</v>
      </c>
      <c r="K30" s="8" t="s">
        <v>594</v>
      </c>
      <c r="L30" s="8" t="s">
        <v>595</v>
      </c>
      <c r="M30" s="7" t="s">
        <v>596</v>
      </c>
      <c r="N30" s="7" t="s">
        <v>597</v>
      </c>
      <c r="O30" s="7" t="s">
        <v>71</v>
      </c>
      <c r="P30" s="8"/>
      <c r="Q30" s="7" t="s">
        <v>199</v>
      </c>
      <c r="R30" s="8"/>
      <c r="S30" s="7" t="s">
        <v>599</v>
      </c>
    </row>
    <row r="31" customFormat="false" ht="46.25" hidden="false" customHeight="false" outlineLevel="0" collapsed="false">
      <c r="A31" s="7" t="s">
        <v>601</v>
      </c>
      <c r="B31" s="8" t="s">
        <v>592</v>
      </c>
      <c r="C31" s="7" t="s">
        <v>167</v>
      </c>
      <c r="D31" s="9" t="n">
        <v>21.06</v>
      </c>
      <c r="E31" s="7" t="s">
        <v>457</v>
      </c>
      <c r="F31" s="7" t="s">
        <v>79</v>
      </c>
      <c r="G31" s="7" t="s">
        <v>63</v>
      </c>
      <c r="H31" s="7" t="s">
        <v>593</v>
      </c>
      <c r="I31" s="8" t="s">
        <v>472</v>
      </c>
      <c r="J31" s="13" t="s">
        <v>193</v>
      </c>
      <c r="K31" s="8" t="s">
        <v>594</v>
      </c>
      <c r="L31" s="8" t="s">
        <v>595</v>
      </c>
      <c r="M31" s="7" t="s">
        <v>596</v>
      </c>
      <c r="N31" s="7" t="s">
        <v>597</v>
      </c>
      <c r="O31" s="7" t="s">
        <v>71</v>
      </c>
      <c r="P31" s="8"/>
      <c r="Q31" s="7" t="s">
        <v>199</v>
      </c>
      <c r="R31" s="8" t="s">
        <v>602</v>
      </c>
      <c r="S31" s="7" t="s">
        <v>599</v>
      </c>
    </row>
    <row r="32" customFormat="false" ht="46.25" hidden="false" customHeight="false" outlineLevel="0" collapsed="false">
      <c r="A32" s="7" t="s">
        <v>603</v>
      </c>
      <c r="B32" s="8" t="s">
        <v>604</v>
      </c>
      <c r="C32" s="7" t="s">
        <v>167</v>
      </c>
      <c r="D32" s="9" t="n">
        <v>2.66</v>
      </c>
      <c r="E32" s="7" t="s">
        <v>457</v>
      </c>
      <c r="F32" s="7" t="s">
        <v>79</v>
      </c>
      <c r="G32" s="7" t="s">
        <v>63</v>
      </c>
      <c r="H32" s="7" t="s">
        <v>593</v>
      </c>
      <c r="I32" s="8" t="s">
        <v>472</v>
      </c>
      <c r="J32" s="13" t="s">
        <v>193</v>
      </c>
      <c r="K32" s="8" t="s">
        <v>594</v>
      </c>
      <c r="L32" s="8" t="s">
        <v>595</v>
      </c>
      <c r="M32" s="7" t="s">
        <v>596</v>
      </c>
      <c r="N32" s="7" t="s">
        <v>597</v>
      </c>
      <c r="O32" s="7" t="s">
        <v>71</v>
      </c>
      <c r="P32" s="8" t="s">
        <v>605</v>
      </c>
      <c r="Q32" s="7" t="s">
        <v>199</v>
      </c>
      <c r="R32" s="8"/>
      <c r="S32" s="7" t="s">
        <v>599</v>
      </c>
    </row>
    <row r="33" customFormat="false" ht="35.05" hidden="false" customHeight="false" outlineLevel="0" collapsed="false">
      <c r="A33" s="7" t="s">
        <v>606</v>
      </c>
      <c r="B33" s="8" t="s">
        <v>607</v>
      </c>
      <c r="C33" s="7" t="s">
        <v>271</v>
      </c>
      <c r="D33" s="9" t="n">
        <v>-15</v>
      </c>
      <c r="E33" s="7" t="s">
        <v>537</v>
      </c>
      <c r="F33" s="7" t="s">
        <v>341</v>
      </c>
      <c r="G33" s="7" t="s">
        <v>63</v>
      </c>
      <c r="H33" s="7" t="s">
        <v>515</v>
      </c>
      <c r="I33" s="8" t="s">
        <v>608</v>
      </c>
      <c r="J33" s="13" t="s">
        <v>193</v>
      </c>
      <c r="K33" s="8" t="s">
        <v>609</v>
      </c>
      <c r="L33" s="8" t="s">
        <v>610</v>
      </c>
      <c r="M33" s="7" t="s">
        <v>611</v>
      </c>
      <c r="N33" s="7" t="s">
        <v>463</v>
      </c>
      <c r="O33" s="7" t="s">
        <v>71</v>
      </c>
      <c r="P33" s="8"/>
      <c r="Q33" s="7" t="s">
        <v>199</v>
      </c>
      <c r="R33" s="8" t="s">
        <v>612</v>
      </c>
      <c r="S33" s="7" t="s">
        <v>613</v>
      </c>
    </row>
    <row r="34" customFormat="false" ht="23.85" hidden="false" customHeight="false" outlineLevel="0" collapsed="false">
      <c r="A34" s="7" t="s">
        <v>614</v>
      </c>
      <c r="B34" s="8" t="s">
        <v>615</v>
      </c>
      <c r="C34" s="7" t="s">
        <v>237</v>
      </c>
      <c r="D34" s="7" t="s">
        <v>616</v>
      </c>
      <c r="E34" s="7" t="s">
        <v>537</v>
      </c>
      <c r="F34" s="7" t="s">
        <v>341</v>
      </c>
      <c r="G34" s="7" t="s">
        <v>63</v>
      </c>
      <c r="H34" s="7" t="s">
        <v>515</v>
      </c>
      <c r="I34" s="8" t="s">
        <v>617</v>
      </c>
      <c r="J34" s="13" t="s">
        <v>193</v>
      </c>
      <c r="K34" s="8" t="s">
        <v>308</v>
      </c>
      <c r="L34" s="8" t="s">
        <v>309</v>
      </c>
      <c r="M34" s="7" t="s">
        <v>97</v>
      </c>
      <c r="N34" s="7" t="s">
        <v>310</v>
      </c>
      <c r="O34" s="7" t="s">
        <v>71</v>
      </c>
      <c r="P34" s="8"/>
      <c r="Q34" s="7" t="s">
        <v>199</v>
      </c>
      <c r="R34" s="8" t="s">
        <v>618</v>
      </c>
      <c r="S34" s="7" t="s">
        <v>312</v>
      </c>
    </row>
    <row r="35" customFormat="false" ht="23.85" hidden="false" customHeight="false" outlineLevel="0" collapsed="false">
      <c r="A35" s="7" t="s">
        <v>619</v>
      </c>
      <c r="B35" s="8" t="s">
        <v>620</v>
      </c>
      <c r="C35" s="7" t="s">
        <v>621</v>
      </c>
      <c r="D35" s="7" t="s">
        <v>622</v>
      </c>
      <c r="E35" s="7" t="s">
        <v>537</v>
      </c>
      <c r="F35" s="7" t="s">
        <v>341</v>
      </c>
      <c r="G35" s="7" t="s">
        <v>63</v>
      </c>
      <c r="H35" s="7" t="s">
        <v>515</v>
      </c>
      <c r="I35" s="8" t="s">
        <v>617</v>
      </c>
      <c r="J35" s="13" t="s">
        <v>193</v>
      </c>
      <c r="K35" s="8" t="s">
        <v>308</v>
      </c>
      <c r="L35" s="8" t="s">
        <v>309</v>
      </c>
      <c r="M35" s="7" t="s">
        <v>97</v>
      </c>
      <c r="N35" s="7" t="s">
        <v>310</v>
      </c>
      <c r="O35" s="7" t="s">
        <v>71</v>
      </c>
      <c r="P35" s="8"/>
      <c r="Q35" s="7" t="s">
        <v>199</v>
      </c>
      <c r="R35" s="8" t="s">
        <v>623</v>
      </c>
      <c r="S35" s="7" t="s">
        <v>312</v>
      </c>
    </row>
    <row r="36" customFormat="false" ht="23.85" hidden="false" customHeight="false" outlineLevel="0" collapsed="false">
      <c r="A36" s="7" t="s">
        <v>624</v>
      </c>
      <c r="B36" s="8" t="s">
        <v>625</v>
      </c>
      <c r="C36" s="7" t="s">
        <v>626</v>
      </c>
      <c r="D36" s="7" t="s">
        <v>627</v>
      </c>
      <c r="E36" s="7" t="s">
        <v>537</v>
      </c>
      <c r="F36" s="7" t="s">
        <v>341</v>
      </c>
      <c r="G36" s="7" t="s">
        <v>63</v>
      </c>
      <c r="H36" s="7" t="s">
        <v>515</v>
      </c>
      <c r="I36" s="8" t="s">
        <v>628</v>
      </c>
      <c r="J36" s="13" t="s">
        <v>193</v>
      </c>
      <c r="K36" s="8" t="s">
        <v>629</v>
      </c>
      <c r="L36" s="8" t="s">
        <v>630</v>
      </c>
      <c r="M36" s="7" t="s">
        <v>631</v>
      </c>
      <c r="N36" s="7" t="s">
        <v>632</v>
      </c>
      <c r="O36" s="7" t="s">
        <v>71</v>
      </c>
      <c r="P36" s="8"/>
      <c r="Q36" s="7" t="s">
        <v>199</v>
      </c>
      <c r="R36" s="8"/>
      <c r="S36" s="7" t="s">
        <v>633</v>
      </c>
    </row>
    <row r="37" customFormat="false" ht="35.05" hidden="false" customHeight="false" outlineLevel="0" collapsed="false">
      <c r="A37" s="7" t="s">
        <v>634</v>
      </c>
      <c r="B37" s="8" t="s">
        <v>635</v>
      </c>
      <c r="C37" s="7" t="s">
        <v>237</v>
      </c>
      <c r="D37" s="9" t="n">
        <v>20</v>
      </c>
      <c r="E37" s="7" t="s">
        <v>537</v>
      </c>
      <c r="F37" s="7" t="s">
        <v>341</v>
      </c>
      <c r="G37" s="7" t="s">
        <v>63</v>
      </c>
      <c r="H37" s="7" t="s">
        <v>636</v>
      </c>
      <c r="I37" s="8" t="s">
        <v>193</v>
      </c>
      <c r="J37" s="13" t="s">
        <v>193</v>
      </c>
      <c r="K37" s="8" t="s">
        <v>478</v>
      </c>
      <c r="L37" s="8" t="s">
        <v>479</v>
      </c>
      <c r="M37" s="7" t="s">
        <v>480</v>
      </c>
      <c r="N37" s="7" t="s">
        <v>463</v>
      </c>
      <c r="O37" s="7" t="s">
        <v>71</v>
      </c>
      <c r="P37" s="8"/>
      <c r="Q37" s="7" t="s">
        <v>199</v>
      </c>
      <c r="R37" s="8" t="s">
        <v>637</v>
      </c>
      <c r="S37" s="7" t="s">
        <v>483</v>
      </c>
    </row>
    <row r="38" customFormat="false" ht="35.05" hidden="false" customHeight="false" outlineLevel="0" collapsed="false">
      <c r="A38" s="7" t="s">
        <v>638</v>
      </c>
      <c r="B38" s="8" t="s">
        <v>639</v>
      </c>
      <c r="C38" s="7" t="s">
        <v>341</v>
      </c>
      <c r="D38" s="7" t="s">
        <v>640</v>
      </c>
      <c r="E38" s="7" t="s">
        <v>641</v>
      </c>
      <c r="F38" s="7" t="s">
        <v>341</v>
      </c>
      <c r="G38" s="7" t="s">
        <v>63</v>
      </c>
      <c r="H38" s="7" t="s">
        <v>642</v>
      </c>
      <c r="I38" s="8" t="s">
        <v>643</v>
      </c>
      <c r="J38" s="15" t="s">
        <v>644</v>
      </c>
      <c r="K38" s="8" t="s">
        <v>645</v>
      </c>
      <c r="L38" s="8" t="s">
        <v>646</v>
      </c>
      <c r="M38" s="7" t="s">
        <v>647</v>
      </c>
      <c r="N38" s="7" t="s">
        <v>341</v>
      </c>
      <c r="O38" s="7" t="s">
        <v>71</v>
      </c>
      <c r="P38" s="8" t="s">
        <v>648</v>
      </c>
      <c r="Q38" s="7" t="s">
        <v>649</v>
      </c>
      <c r="R38" s="8" t="s">
        <v>650</v>
      </c>
      <c r="S38" s="7" t="s">
        <v>651</v>
      </c>
    </row>
    <row r="39" customFormat="false" ht="23.85" hidden="false" customHeight="false" outlineLevel="0" collapsed="false">
      <c r="A39" s="7" t="s">
        <v>652</v>
      </c>
      <c r="B39" s="8" t="s">
        <v>653</v>
      </c>
      <c r="C39" s="7" t="s">
        <v>341</v>
      </c>
      <c r="D39" s="7" t="s">
        <v>654</v>
      </c>
      <c r="E39" s="7" t="s">
        <v>641</v>
      </c>
      <c r="F39" s="7" t="s">
        <v>341</v>
      </c>
      <c r="G39" s="7" t="s">
        <v>63</v>
      </c>
      <c r="H39" s="7" t="s">
        <v>655</v>
      </c>
      <c r="I39" s="8" t="s">
        <v>656</v>
      </c>
      <c r="J39" s="15" t="s">
        <v>644</v>
      </c>
      <c r="K39" s="8" t="s">
        <v>645</v>
      </c>
      <c r="L39" s="8" t="s">
        <v>646</v>
      </c>
      <c r="M39" s="7" t="s">
        <v>647</v>
      </c>
      <c r="N39" s="7" t="s">
        <v>341</v>
      </c>
      <c r="O39" s="7" t="s">
        <v>71</v>
      </c>
      <c r="P39" s="8" t="s">
        <v>657</v>
      </c>
      <c r="Q39" s="7" t="s">
        <v>649</v>
      </c>
      <c r="R39" s="8"/>
      <c r="S39" s="7" t="s">
        <v>651</v>
      </c>
    </row>
    <row r="40" customFormat="false" ht="23.85" hidden="false" customHeight="false" outlineLevel="0" collapsed="false">
      <c r="A40" s="7" t="s">
        <v>658</v>
      </c>
      <c r="B40" s="8" t="s">
        <v>659</v>
      </c>
      <c r="C40" s="7" t="s">
        <v>341</v>
      </c>
      <c r="D40" s="7" t="s">
        <v>660</v>
      </c>
      <c r="E40" s="7" t="s">
        <v>641</v>
      </c>
      <c r="F40" s="7" t="s">
        <v>341</v>
      </c>
      <c r="G40" s="7" t="s">
        <v>63</v>
      </c>
      <c r="H40" s="7" t="s">
        <v>661</v>
      </c>
      <c r="I40" s="8" t="s">
        <v>662</v>
      </c>
      <c r="J40" s="15" t="s">
        <v>644</v>
      </c>
      <c r="K40" s="8" t="s">
        <v>645</v>
      </c>
      <c r="L40" s="8" t="s">
        <v>646</v>
      </c>
      <c r="M40" s="7" t="s">
        <v>647</v>
      </c>
      <c r="N40" s="7" t="s">
        <v>341</v>
      </c>
      <c r="O40" s="7" t="s">
        <v>71</v>
      </c>
      <c r="P40" s="8" t="s">
        <v>663</v>
      </c>
      <c r="Q40" s="7" t="s">
        <v>649</v>
      </c>
      <c r="R40" s="8"/>
      <c r="S40" s="7" t="s">
        <v>651</v>
      </c>
    </row>
    <row r="41" customFormat="false" ht="23.85" hidden="false" customHeight="false" outlineLevel="0" collapsed="false">
      <c r="A41" s="7" t="s">
        <v>664</v>
      </c>
      <c r="B41" s="8" t="s">
        <v>665</v>
      </c>
      <c r="C41" s="7" t="s">
        <v>666</v>
      </c>
      <c r="D41" s="9" t="n">
        <v>11</v>
      </c>
      <c r="E41" s="7" t="s">
        <v>667</v>
      </c>
      <c r="F41" s="7" t="s">
        <v>79</v>
      </c>
      <c r="G41" s="7" t="s">
        <v>63</v>
      </c>
      <c r="H41" s="7" t="s">
        <v>668</v>
      </c>
      <c r="I41" s="8" t="s">
        <v>669</v>
      </c>
      <c r="J41" s="10" t="s">
        <v>66</v>
      </c>
      <c r="K41" s="8" t="s">
        <v>670</v>
      </c>
      <c r="L41" s="8" t="s">
        <v>671</v>
      </c>
      <c r="M41" s="7" t="s">
        <v>672</v>
      </c>
      <c r="N41" s="7" t="s">
        <v>673</v>
      </c>
      <c r="O41" s="7" t="s">
        <v>71</v>
      </c>
      <c r="P41" s="8" t="s">
        <v>674</v>
      </c>
      <c r="Q41" s="7" t="s">
        <v>73</v>
      </c>
      <c r="R41" s="8" t="s">
        <v>675</v>
      </c>
      <c r="S41" s="7" t="s">
        <v>676</v>
      </c>
    </row>
  </sheetData>
  <autoFilter ref="A1:S4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4"/>
    <col collapsed="false" customWidth="true" hidden="false" outlineLevel="0" max="3" min="3" style="0" width="16"/>
    <col collapsed="false" customWidth="true" hidden="false" outlineLevel="0" max="4" min="4" style="0" width="12"/>
    <col collapsed="false" customWidth="true" hidden="false" outlineLevel="0" max="5" min="5" style="0" width="16"/>
    <col collapsed="false" customWidth="true" hidden="false" outlineLevel="0" max="6" min="6" style="0" width="9"/>
    <col collapsed="false" customWidth="true" hidden="false" outlineLevel="0" max="7" min="7" style="0" width="11"/>
    <col collapsed="false" customWidth="true" hidden="false" outlineLevel="0" max="8" min="8" style="0" width="18"/>
    <col collapsed="false" customWidth="true" hidden="false" outlineLevel="0" max="9" min="9" style="0" width="34"/>
    <col collapsed="false" customWidth="true" hidden="false" outlineLevel="0" max="10" min="10" style="0" width="16"/>
    <col collapsed="false" customWidth="true" hidden="false" outlineLevel="0" max="11" min="11" style="0" width="48"/>
    <col collapsed="false" customWidth="true" hidden="false" outlineLevel="0" max="12" min="12" style="0" width="46"/>
    <col collapsed="false" customWidth="true" hidden="false" outlineLevel="0" max="13" min="13" style="0" width="28"/>
    <col collapsed="false" customWidth="true" hidden="false" outlineLevel="0" max="14" min="14" style="0" width="16"/>
    <col collapsed="false" customWidth="true" hidden="false" outlineLevel="0" max="15" min="15" style="0" width="12"/>
    <col collapsed="false" customWidth="true" hidden="false" outlineLevel="0" max="16" min="16" style="0" width="50"/>
    <col collapsed="false" customWidth="true" hidden="false" outlineLevel="0" max="17" min="17" style="0" width="10"/>
    <col collapsed="false" customWidth="true" hidden="false" outlineLevel="0" max="18" min="18" style="0" width="56"/>
    <col collapsed="false" customWidth="true" hidden="false" outlineLevel="0" max="19" min="19" style="0" width="9"/>
  </cols>
  <sheetData>
    <row r="1" customFormat="false" ht="30" hidden="false" customHeight="true" outlineLevel="0" collapsed="false">
      <c r="A1" s="6" t="s">
        <v>39</v>
      </c>
      <c r="B1" s="6" t="s">
        <v>40</v>
      </c>
      <c r="C1" s="6" t="s">
        <v>41</v>
      </c>
      <c r="D1" s="6" t="s">
        <v>42</v>
      </c>
      <c r="E1" s="6" t="s">
        <v>43</v>
      </c>
      <c r="F1" s="6" t="s">
        <v>44</v>
      </c>
      <c r="G1" s="6" t="s">
        <v>45</v>
      </c>
      <c r="H1" s="6" t="s">
        <v>46</v>
      </c>
      <c r="I1" s="6" t="s">
        <v>47</v>
      </c>
      <c r="J1" s="6" t="s">
        <v>48</v>
      </c>
      <c r="K1" s="6" t="s">
        <v>49</v>
      </c>
      <c r="L1" s="6" t="s">
        <v>50</v>
      </c>
      <c r="M1" s="6" t="s">
        <v>51</v>
      </c>
      <c r="N1" s="6" t="s">
        <v>52</v>
      </c>
      <c r="O1" s="6" t="s">
        <v>53</v>
      </c>
      <c r="P1" s="6" t="s">
        <v>54</v>
      </c>
      <c r="Q1" s="6" t="s">
        <v>55</v>
      </c>
      <c r="R1" s="6" t="s">
        <v>56</v>
      </c>
      <c r="S1" s="6" t="s">
        <v>57</v>
      </c>
    </row>
    <row r="2" customFormat="false" ht="23.85" hidden="false" customHeight="false" outlineLevel="0" collapsed="false">
      <c r="A2" s="7" t="s">
        <v>677</v>
      </c>
      <c r="B2" s="8" t="s">
        <v>678</v>
      </c>
      <c r="C2" s="7" t="s">
        <v>89</v>
      </c>
      <c r="D2" s="9" t="n">
        <v>3.83</v>
      </c>
      <c r="E2" s="7" t="s">
        <v>127</v>
      </c>
      <c r="F2" s="7" t="s">
        <v>341</v>
      </c>
      <c r="G2" s="7" t="s">
        <v>63</v>
      </c>
      <c r="H2" s="7" t="s">
        <v>679</v>
      </c>
      <c r="I2" s="8" t="s">
        <v>552</v>
      </c>
      <c r="J2" s="10" t="s">
        <v>66</v>
      </c>
      <c r="K2" s="8" t="s">
        <v>680</v>
      </c>
      <c r="L2" s="8" t="s">
        <v>681</v>
      </c>
      <c r="M2" s="7" t="s">
        <v>682</v>
      </c>
      <c r="N2" s="7" t="s">
        <v>683</v>
      </c>
      <c r="O2" s="7" t="s">
        <v>71</v>
      </c>
      <c r="P2" s="8"/>
      <c r="Q2" s="7" t="s">
        <v>649</v>
      </c>
      <c r="R2" s="8"/>
      <c r="S2" s="7" t="s">
        <v>684</v>
      </c>
    </row>
    <row r="3" customFormat="false" ht="23.85" hidden="false" customHeight="false" outlineLevel="0" collapsed="false">
      <c r="A3" s="7" t="s">
        <v>685</v>
      </c>
      <c r="B3" s="8" t="s">
        <v>678</v>
      </c>
      <c r="C3" s="7" t="s">
        <v>131</v>
      </c>
      <c r="D3" s="9" t="n">
        <v>2.63</v>
      </c>
      <c r="E3" s="7" t="s">
        <v>127</v>
      </c>
      <c r="F3" s="7" t="s">
        <v>341</v>
      </c>
      <c r="G3" s="7" t="s">
        <v>63</v>
      </c>
      <c r="H3" s="7" t="s">
        <v>679</v>
      </c>
      <c r="I3" s="8" t="s">
        <v>552</v>
      </c>
      <c r="J3" s="10" t="s">
        <v>66</v>
      </c>
      <c r="K3" s="8" t="s">
        <v>680</v>
      </c>
      <c r="L3" s="8" t="s">
        <v>681</v>
      </c>
      <c r="M3" s="7" t="s">
        <v>682</v>
      </c>
      <c r="N3" s="7" t="s">
        <v>683</v>
      </c>
      <c r="O3" s="7" t="s">
        <v>71</v>
      </c>
      <c r="P3" s="8"/>
      <c r="Q3" s="7" t="s">
        <v>649</v>
      </c>
      <c r="R3" s="8"/>
      <c r="S3" s="7" t="s">
        <v>684</v>
      </c>
    </row>
    <row r="4" customFormat="false" ht="23.85" hidden="false" customHeight="false" outlineLevel="0" collapsed="false">
      <c r="A4" s="7" t="s">
        <v>686</v>
      </c>
      <c r="B4" s="8" t="s">
        <v>678</v>
      </c>
      <c r="C4" s="7" t="s">
        <v>155</v>
      </c>
      <c r="D4" s="9" t="n">
        <v>5.05</v>
      </c>
      <c r="E4" s="7" t="s">
        <v>127</v>
      </c>
      <c r="F4" s="7" t="s">
        <v>341</v>
      </c>
      <c r="G4" s="7" t="s">
        <v>63</v>
      </c>
      <c r="H4" s="7" t="s">
        <v>679</v>
      </c>
      <c r="I4" s="8" t="s">
        <v>552</v>
      </c>
      <c r="J4" s="10" t="s">
        <v>66</v>
      </c>
      <c r="K4" s="8" t="s">
        <v>680</v>
      </c>
      <c r="L4" s="8" t="s">
        <v>681</v>
      </c>
      <c r="M4" s="7" t="s">
        <v>682</v>
      </c>
      <c r="N4" s="7" t="s">
        <v>683</v>
      </c>
      <c r="O4" s="7" t="s">
        <v>71</v>
      </c>
      <c r="P4" s="8"/>
      <c r="Q4" s="7" t="s">
        <v>649</v>
      </c>
      <c r="R4" s="8"/>
      <c r="S4" s="7" t="s">
        <v>684</v>
      </c>
    </row>
    <row r="5" customFormat="false" ht="23.85" hidden="false" customHeight="false" outlineLevel="0" collapsed="false">
      <c r="A5" s="7" t="s">
        <v>687</v>
      </c>
      <c r="B5" s="8" t="s">
        <v>678</v>
      </c>
      <c r="C5" s="7" t="s">
        <v>160</v>
      </c>
      <c r="D5" s="9" t="n">
        <v>13.8</v>
      </c>
      <c r="E5" s="7" t="s">
        <v>127</v>
      </c>
      <c r="F5" s="7" t="s">
        <v>341</v>
      </c>
      <c r="G5" s="7" t="s">
        <v>63</v>
      </c>
      <c r="H5" s="7" t="s">
        <v>679</v>
      </c>
      <c r="I5" s="8" t="s">
        <v>552</v>
      </c>
      <c r="J5" s="10" t="s">
        <v>66</v>
      </c>
      <c r="K5" s="8" t="s">
        <v>680</v>
      </c>
      <c r="L5" s="8" t="s">
        <v>681</v>
      </c>
      <c r="M5" s="7" t="s">
        <v>682</v>
      </c>
      <c r="N5" s="7" t="s">
        <v>683</v>
      </c>
      <c r="O5" s="7" t="s">
        <v>71</v>
      </c>
      <c r="P5" s="8"/>
      <c r="Q5" s="7" t="s">
        <v>649</v>
      </c>
      <c r="R5" s="8"/>
      <c r="S5" s="7" t="s">
        <v>684</v>
      </c>
    </row>
    <row r="6" customFormat="false" ht="23.85" hidden="false" customHeight="false" outlineLevel="0" collapsed="false">
      <c r="A6" s="7" t="s">
        <v>688</v>
      </c>
      <c r="B6" s="8" t="s">
        <v>678</v>
      </c>
      <c r="C6" s="7" t="s">
        <v>167</v>
      </c>
      <c r="D6" s="9" t="n">
        <v>10.4</v>
      </c>
      <c r="E6" s="7" t="s">
        <v>127</v>
      </c>
      <c r="F6" s="7" t="s">
        <v>341</v>
      </c>
      <c r="G6" s="7" t="s">
        <v>63</v>
      </c>
      <c r="H6" s="7" t="s">
        <v>679</v>
      </c>
      <c r="I6" s="8" t="s">
        <v>552</v>
      </c>
      <c r="J6" s="10" t="s">
        <v>66</v>
      </c>
      <c r="K6" s="8" t="s">
        <v>680</v>
      </c>
      <c r="L6" s="8" t="s">
        <v>681</v>
      </c>
      <c r="M6" s="7" t="s">
        <v>682</v>
      </c>
      <c r="N6" s="7" t="s">
        <v>683</v>
      </c>
      <c r="O6" s="7" t="s">
        <v>71</v>
      </c>
      <c r="P6" s="8"/>
      <c r="Q6" s="7" t="s">
        <v>649</v>
      </c>
      <c r="R6" s="8"/>
      <c r="S6" s="7" t="s">
        <v>684</v>
      </c>
    </row>
    <row r="7" customFormat="false" ht="35.05" hidden="false" customHeight="false" outlineLevel="0" collapsed="false">
      <c r="A7" s="7" t="s">
        <v>689</v>
      </c>
      <c r="B7" s="8" t="s">
        <v>678</v>
      </c>
      <c r="C7" s="7" t="s">
        <v>204</v>
      </c>
      <c r="D7" s="9" t="n">
        <v>5.6</v>
      </c>
      <c r="E7" s="7" t="s">
        <v>127</v>
      </c>
      <c r="F7" s="7" t="s">
        <v>341</v>
      </c>
      <c r="G7" s="7" t="s">
        <v>63</v>
      </c>
      <c r="H7" s="7" t="s">
        <v>679</v>
      </c>
      <c r="I7" s="8" t="s">
        <v>552</v>
      </c>
      <c r="J7" s="10" t="s">
        <v>66</v>
      </c>
      <c r="K7" s="8" t="s">
        <v>690</v>
      </c>
      <c r="L7" s="8" t="s">
        <v>691</v>
      </c>
      <c r="M7" s="7" t="s">
        <v>692</v>
      </c>
      <c r="N7" s="7" t="s">
        <v>693</v>
      </c>
      <c r="O7" s="7" t="s">
        <v>71</v>
      </c>
      <c r="P7" s="8"/>
      <c r="Q7" s="7" t="s">
        <v>649</v>
      </c>
      <c r="R7" s="8"/>
      <c r="S7" s="7" t="s">
        <v>694</v>
      </c>
    </row>
    <row r="8" customFormat="false" ht="35.05" hidden="false" customHeight="false" outlineLevel="0" collapsed="false">
      <c r="A8" s="7" t="s">
        <v>695</v>
      </c>
      <c r="B8" s="8" t="s">
        <v>678</v>
      </c>
      <c r="C8" s="7" t="s">
        <v>237</v>
      </c>
      <c r="D8" s="9" t="n">
        <v>7.3</v>
      </c>
      <c r="E8" s="7" t="s">
        <v>127</v>
      </c>
      <c r="F8" s="7" t="s">
        <v>341</v>
      </c>
      <c r="G8" s="7" t="s">
        <v>63</v>
      </c>
      <c r="H8" s="7" t="s">
        <v>679</v>
      </c>
      <c r="I8" s="8" t="s">
        <v>552</v>
      </c>
      <c r="J8" s="10" t="s">
        <v>66</v>
      </c>
      <c r="K8" s="8" t="s">
        <v>690</v>
      </c>
      <c r="L8" s="8" t="s">
        <v>691</v>
      </c>
      <c r="M8" s="7" t="s">
        <v>692</v>
      </c>
      <c r="N8" s="7" t="s">
        <v>693</v>
      </c>
      <c r="O8" s="7" t="s">
        <v>71</v>
      </c>
      <c r="P8" s="8"/>
      <c r="Q8" s="7" t="s">
        <v>649</v>
      </c>
      <c r="R8" s="8"/>
      <c r="S8" s="7" t="s">
        <v>694</v>
      </c>
    </row>
    <row r="9" customFormat="false" ht="35.05" hidden="false" customHeight="false" outlineLevel="0" collapsed="false">
      <c r="A9" s="7" t="s">
        <v>696</v>
      </c>
      <c r="B9" s="8" t="s">
        <v>697</v>
      </c>
      <c r="C9" s="7" t="s">
        <v>698</v>
      </c>
      <c r="D9" s="9" t="n">
        <v>9.7</v>
      </c>
      <c r="E9" s="7" t="s">
        <v>127</v>
      </c>
      <c r="F9" s="7" t="s">
        <v>341</v>
      </c>
      <c r="G9" s="7" t="s">
        <v>63</v>
      </c>
      <c r="H9" s="7" t="s">
        <v>699</v>
      </c>
      <c r="I9" s="8" t="s">
        <v>552</v>
      </c>
      <c r="J9" s="10" t="s">
        <v>66</v>
      </c>
      <c r="K9" s="8" t="s">
        <v>690</v>
      </c>
      <c r="L9" s="8" t="s">
        <v>691</v>
      </c>
      <c r="M9" s="7" t="s">
        <v>692</v>
      </c>
      <c r="N9" s="7" t="s">
        <v>693</v>
      </c>
      <c r="O9" s="7" t="s">
        <v>71</v>
      </c>
      <c r="P9" s="8"/>
      <c r="Q9" s="7" t="s">
        <v>649</v>
      </c>
      <c r="R9" s="8"/>
      <c r="S9" s="7" t="s">
        <v>694</v>
      </c>
    </row>
    <row r="10" customFormat="false" ht="23.85" hidden="false" customHeight="false" outlineLevel="0" collapsed="false">
      <c r="A10" s="7" t="s">
        <v>700</v>
      </c>
      <c r="B10" s="8" t="s">
        <v>701</v>
      </c>
      <c r="C10" s="7" t="s">
        <v>702</v>
      </c>
      <c r="D10" s="9" t="n">
        <v>9.9</v>
      </c>
      <c r="E10" s="7" t="s">
        <v>127</v>
      </c>
      <c r="F10" s="7" t="s">
        <v>341</v>
      </c>
      <c r="G10" s="7" t="s">
        <v>63</v>
      </c>
      <c r="H10" s="7" t="s">
        <v>699</v>
      </c>
      <c r="I10" s="8" t="s">
        <v>552</v>
      </c>
      <c r="J10" s="10" t="s">
        <v>66</v>
      </c>
      <c r="K10" s="8" t="s">
        <v>703</v>
      </c>
      <c r="L10" s="8" t="s">
        <v>704</v>
      </c>
      <c r="M10" s="7" t="s">
        <v>705</v>
      </c>
      <c r="N10" s="7" t="s">
        <v>706</v>
      </c>
      <c r="O10" s="7" t="s">
        <v>71</v>
      </c>
      <c r="P10" s="8"/>
      <c r="Q10" s="7" t="s">
        <v>649</v>
      </c>
      <c r="R10" s="8"/>
      <c r="S10" s="7" t="s">
        <v>707</v>
      </c>
    </row>
    <row r="11" customFormat="false" ht="35.05" hidden="false" customHeight="false" outlineLevel="0" collapsed="false">
      <c r="A11" s="7" t="s">
        <v>708</v>
      </c>
      <c r="B11" s="8" t="s">
        <v>701</v>
      </c>
      <c r="C11" s="7" t="s">
        <v>709</v>
      </c>
      <c r="D11" s="9" t="n">
        <v>8.16</v>
      </c>
      <c r="E11" s="7" t="s">
        <v>127</v>
      </c>
      <c r="F11" s="7" t="s">
        <v>341</v>
      </c>
      <c r="G11" s="7" t="s">
        <v>63</v>
      </c>
      <c r="H11" s="7" t="s">
        <v>699</v>
      </c>
      <c r="I11" s="8" t="s">
        <v>552</v>
      </c>
      <c r="J11" s="10" t="s">
        <v>66</v>
      </c>
      <c r="K11" s="8" t="s">
        <v>710</v>
      </c>
      <c r="L11" s="8" t="s">
        <v>711</v>
      </c>
      <c r="M11" s="7" t="s">
        <v>712</v>
      </c>
      <c r="N11" s="7" t="s">
        <v>713</v>
      </c>
      <c r="O11" s="7" t="s">
        <v>71</v>
      </c>
      <c r="P11" s="8"/>
      <c r="Q11" s="7" t="s">
        <v>73</v>
      </c>
      <c r="R11" s="8" t="s">
        <v>714</v>
      </c>
      <c r="S11" s="7" t="s">
        <v>715</v>
      </c>
    </row>
    <row r="12" customFormat="false" ht="23.85" hidden="false" customHeight="false" outlineLevel="0" collapsed="false">
      <c r="A12" s="7" t="s">
        <v>716</v>
      </c>
      <c r="B12" s="8" t="s">
        <v>717</v>
      </c>
      <c r="C12" s="7" t="s">
        <v>718</v>
      </c>
      <c r="D12" s="9" t="n">
        <v>8.5</v>
      </c>
      <c r="E12" s="7" t="s">
        <v>127</v>
      </c>
      <c r="F12" s="7" t="s">
        <v>341</v>
      </c>
      <c r="G12" s="7" t="s">
        <v>63</v>
      </c>
      <c r="H12" s="7" t="s">
        <v>699</v>
      </c>
      <c r="I12" s="8" t="s">
        <v>552</v>
      </c>
      <c r="J12" s="10" t="s">
        <v>66</v>
      </c>
      <c r="K12" s="8" t="s">
        <v>703</v>
      </c>
      <c r="L12" s="8" t="s">
        <v>704</v>
      </c>
      <c r="M12" s="7" t="s">
        <v>705</v>
      </c>
      <c r="N12" s="7" t="s">
        <v>706</v>
      </c>
      <c r="O12" s="7" t="s">
        <v>71</v>
      </c>
      <c r="P12" s="8"/>
      <c r="Q12" s="7" t="s">
        <v>649</v>
      </c>
      <c r="R12" s="8"/>
      <c r="S12" s="7" t="s">
        <v>707</v>
      </c>
    </row>
    <row r="13" customFormat="false" ht="35.05" hidden="false" customHeight="false" outlineLevel="0" collapsed="false">
      <c r="A13" s="7" t="s">
        <v>719</v>
      </c>
      <c r="B13" s="8" t="s">
        <v>701</v>
      </c>
      <c r="C13" s="7" t="s">
        <v>720</v>
      </c>
      <c r="D13" s="7"/>
      <c r="E13" s="7" t="s">
        <v>127</v>
      </c>
      <c r="F13" s="7" t="s">
        <v>341</v>
      </c>
      <c r="G13" s="7" t="s">
        <v>63</v>
      </c>
      <c r="H13" s="7" t="s">
        <v>699</v>
      </c>
      <c r="I13" s="8" t="s">
        <v>552</v>
      </c>
      <c r="J13" s="14" t="s">
        <v>342</v>
      </c>
      <c r="K13" s="8" t="s">
        <v>710</v>
      </c>
      <c r="L13" s="8" t="s">
        <v>711</v>
      </c>
      <c r="M13" s="7" t="s">
        <v>712</v>
      </c>
      <c r="N13" s="7" t="s">
        <v>713</v>
      </c>
      <c r="O13" s="7" t="s">
        <v>71</v>
      </c>
      <c r="P13" s="8" t="s">
        <v>721</v>
      </c>
      <c r="Q13" s="7"/>
      <c r="R13" s="8" t="s">
        <v>722</v>
      </c>
      <c r="S13" s="7" t="s">
        <v>715</v>
      </c>
    </row>
    <row r="14" customFormat="false" ht="35.05" hidden="false" customHeight="false" outlineLevel="0" collapsed="false">
      <c r="A14" s="7" t="s">
        <v>723</v>
      </c>
      <c r="B14" s="8" t="s">
        <v>724</v>
      </c>
      <c r="C14" s="7" t="s">
        <v>698</v>
      </c>
      <c r="D14" s="9" t="n">
        <v>7.75</v>
      </c>
      <c r="E14" s="7" t="s">
        <v>127</v>
      </c>
      <c r="F14" s="7" t="s">
        <v>341</v>
      </c>
      <c r="G14" s="7" t="s">
        <v>63</v>
      </c>
      <c r="H14" s="7" t="s">
        <v>699</v>
      </c>
      <c r="I14" s="8" t="s">
        <v>552</v>
      </c>
      <c r="J14" s="10" t="s">
        <v>66</v>
      </c>
      <c r="K14" s="8" t="s">
        <v>690</v>
      </c>
      <c r="L14" s="8" t="s">
        <v>691</v>
      </c>
      <c r="M14" s="7" t="s">
        <v>692</v>
      </c>
      <c r="N14" s="7" t="s">
        <v>693</v>
      </c>
      <c r="O14" s="7" t="s">
        <v>71</v>
      </c>
      <c r="P14" s="8"/>
      <c r="Q14" s="7" t="s">
        <v>649</v>
      </c>
      <c r="R14" s="8"/>
      <c r="S14" s="7" t="s">
        <v>694</v>
      </c>
    </row>
    <row r="15" customFormat="false" ht="35.05" hidden="false" customHeight="false" outlineLevel="0" collapsed="false">
      <c r="A15" s="7" t="s">
        <v>725</v>
      </c>
      <c r="B15" s="8" t="s">
        <v>726</v>
      </c>
      <c r="C15" s="7" t="s">
        <v>698</v>
      </c>
      <c r="D15" s="9" t="n">
        <v>11</v>
      </c>
      <c r="E15" s="7" t="s">
        <v>127</v>
      </c>
      <c r="F15" s="7" t="s">
        <v>341</v>
      </c>
      <c r="G15" s="7" t="s">
        <v>63</v>
      </c>
      <c r="H15" s="7" t="s">
        <v>699</v>
      </c>
      <c r="I15" s="8" t="s">
        <v>552</v>
      </c>
      <c r="J15" s="10" t="s">
        <v>66</v>
      </c>
      <c r="K15" s="8" t="s">
        <v>690</v>
      </c>
      <c r="L15" s="8" t="s">
        <v>691</v>
      </c>
      <c r="M15" s="7" t="s">
        <v>692</v>
      </c>
      <c r="N15" s="7" t="s">
        <v>693</v>
      </c>
      <c r="O15" s="7" t="s">
        <v>71</v>
      </c>
      <c r="P15" s="8"/>
      <c r="Q15" s="7" t="s">
        <v>649</v>
      </c>
      <c r="R15" s="8"/>
      <c r="S15" s="7" t="s">
        <v>694</v>
      </c>
    </row>
    <row r="16" customFormat="false" ht="23.85" hidden="false" customHeight="false" outlineLevel="0" collapsed="false">
      <c r="A16" s="7" t="s">
        <v>727</v>
      </c>
      <c r="B16" s="8" t="s">
        <v>728</v>
      </c>
      <c r="C16" s="7" t="s">
        <v>729</v>
      </c>
      <c r="D16" s="9" t="n">
        <v>10</v>
      </c>
      <c r="E16" s="7" t="s">
        <v>127</v>
      </c>
      <c r="F16" s="7" t="s">
        <v>341</v>
      </c>
      <c r="G16" s="7" t="s">
        <v>63</v>
      </c>
      <c r="H16" s="7" t="s">
        <v>699</v>
      </c>
      <c r="I16" s="8" t="s">
        <v>552</v>
      </c>
      <c r="J16" s="10" t="s">
        <v>66</v>
      </c>
      <c r="K16" s="8" t="s">
        <v>730</v>
      </c>
      <c r="L16" s="8" t="s">
        <v>731</v>
      </c>
      <c r="M16" s="7" t="s">
        <v>732</v>
      </c>
      <c r="N16" s="7" t="s">
        <v>733</v>
      </c>
      <c r="O16" s="7" t="s">
        <v>71</v>
      </c>
      <c r="P16" s="8" t="s">
        <v>734</v>
      </c>
      <c r="Q16" s="7" t="s">
        <v>73</v>
      </c>
      <c r="R16" s="8"/>
      <c r="S16" s="7" t="s">
        <v>735</v>
      </c>
    </row>
    <row r="17" customFormat="false" ht="23.85" hidden="false" customHeight="false" outlineLevel="0" collapsed="false">
      <c r="A17" s="7" t="s">
        <v>736</v>
      </c>
      <c r="B17" s="8" t="s">
        <v>728</v>
      </c>
      <c r="C17" s="7" t="s">
        <v>702</v>
      </c>
      <c r="D17" s="9" t="n">
        <v>11.6</v>
      </c>
      <c r="E17" s="7" t="s">
        <v>127</v>
      </c>
      <c r="F17" s="7" t="s">
        <v>341</v>
      </c>
      <c r="G17" s="7" t="s">
        <v>63</v>
      </c>
      <c r="H17" s="7" t="s">
        <v>699</v>
      </c>
      <c r="I17" s="8" t="s">
        <v>552</v>
      </c>
      <c r="J17" s="10" t="s">
        <v>66</v>
      </c>
      <c r="K17" s="8" t="s">
        <v>703</v>
      </c>
      <c r="L17" s="8" t="s">
        <v>704</v>
      </c>
      <c r="M17" s="7" t="s">
        <v>705</v>
      </c>
      <c r="N17" s="7" t="s">
        <v>706</v>
      </c>
      <c r="O17" s="7" t="s">
        <v>71</v>
      </c>
      <c r="P17" s="8"/>
      <c r="Q17" s="7" t="s">
        <v>649</v>
      </c>
      <c r="R17" s="8"/>
      <c r="S17" s="7" t="s">
        <v>707</v>
      </c>
    </row>
    <row r="18" customFormat="false" ht="35.05" hidden="false" customHeight="false" outlineLevel="0" collapsed="false">
      <c r="A18" s="7" t="s">
        <v>737</v>
      </c>
      <c r="B18" s="8" t="s">
        <v>738</v>
      </c>
      <c r="C18" s="7" t="s">
        <v>570</v>
      </c>
      <c r="D18" s="9" t="n">
        <v>11</v>
      </c>
      <c r="E18" s="7" t="s">
        <v>127</v>
      </c>
      <c r="F18" s="7" t="s">
        <v>341</v>
      </c>
      <c r="G18" s="7" t="s">
        <v>63</v>
      </c>
      <c r="H18" s="7" t="s">
        <v>699</v>
      </c>
      <c r="I18" s="8" t="s">
        <v>739</v>
      </c>
      <c r="J18" s="10" t="s">
        <v>66</v>
      </c>
      <c r="K18" s="8" t="s">
        <v>609</v>
      </c>
      <c r="L18" s="8" t="s">
        <v>610</v>
      </c>
      <c r="M18" s="7" t="s">
        <v>611</v>
      </c>
      <c r="N18" s="7" t="s">
        <v>463</v>
      </c>
      <c r="O18" s="7" t="s">
        <v>71</v>
      </c>
      <c r="P18" s="8"/>
      <c r="Q18" s="7" t="s">
        <v>73</v>
      </c>
      <c r="R18" s="8" t="s">
        <v>740</v>
      </c>
      <c r="S18" s="7" t="s">
        <v>613</v>
      </c>
    </row>
    <row r="19" customFormat="false" ht="23.85" hidden="false" customHeight="false" outlineLevel="0" collapsed="false">
      <c r="A19" s="7" t="s">
        <v>741</v>
      </c>
      <c r="B19" s="8" t="s">
        <v>742</v>
      </c>
      <c r="C19" s="7" t="s">
        <v>89</v>
      </c>
      <c r="D19" s="9" t="n">
        <v>4.7453</v>
      </c>
      <c r="E19" s="7" t="s">
        <v>743</v>
      </c>
      <c r="F19" s="7" t="s">
        <v>79</v>
      </c>
      <c r="G19" s="7" t="s">
        <v>63</v>
      </c>
      <c r="H19" s="7" t="s">
        <v>744</v>
      </c>
      <c r="I19" s="8" t="s">
        <v>552</v>
      </c>
      <c r="J19" s="10" t="s">
        <v>66</v>
      </c>
      <c r="K19" s="8" t="s">
        <v>745</v>
      </c>
      <c r="L19" s="8" t="s">
        <v>746</v>
      </c>
      <c r="M19" s="7" t="s">
        <v>747</v>
      </c>
      <c r="N19" s="7" t="s">
        <v>748</v>
      </c>
      <c r="O19" s="7" t="s">
        <v>71</v>
      </c>
      <c r="P19" s="8"/>
      <c r="Q19" s="7" t="s">
        <v>649</v>
      </c>
      <c r="R19" s="8"/>
      <c r="S19" s="7" t="s">
        <v>749</v>
      </c>
    </row>
    <row r="20" customFormat="false" ht="23.85" hidden="false" customHeight="false" outlineLevel="0" collapsed="false">
      <c r="A20" s="7" t="s">
        <v>750</v>
      </c>
      <c r="B20" s="8" t="s">
        <v>742</v>
      </c>
      <c r="C20" s="7" t="s">
        <v>131</v>
      </c>
      <c r="D20" s="9" t="n">
        <v>4.8376</v>
      </c>
      <c r="E20" s="7" t="s">
        <v>743</v>
      </c>
      <c r="F20" s="7" t="s">
        <v>79</v>
      </c>
      <c r="G20" s="7" t="s">
        <v>63</v>
      </c>
      <c r="H20" s="7" t="s">
        <v>744</v>
      </c>
      <c r="I20" s="8" t="s">
        <v>552</v>
      </c>
      <c r="J20" s="10" t="s">
        <v>66</v>
      </c>
      <c r="K20" s="8" t="s">
        <v>745</v>
      </c>
      <c r="L20" s="8" t="s">
        <v>746</v>
      </c>
      <c r="M20" s="7" t="s">
        <v>747</v>
      </c>
      <c r="N20" s="7" t="s">
        <v>748</v>
      </c>
      <c r="O20" s="7" t="s">
        <v>71</v>
      </c>
      <c r="P20" s="8"/>
      <c r="Q20" s="7" t="s">
        <v>649</v>
      </c>
      <c r="R20" s="8"/>
      <c r="S20" s="7" t="s">
        <v>749</v>
      </c>
    </row>
    <row r="21" customFormat="false" ht="23.85" hidden="false" customHeight="false" outlineLevel="0" collapsed="false">
      <c r="A21" s="7" t="s">
        <v>751</v>
      </c>
      <c r="B21" s="8" t="s">
        <v>742</v>
      </c>
      <c r="C21" s="7" t="s">
        <v>155</v>
      </c>
      <c r="D21" s="9" t="n">
        <v>4.9204</v>
      </c>
      <c r="E21" s="7" t="s">
        <v>743</v>
      </c>
      <c r="F21" s="7" t="s">
        <v>79</v>
      </c>
      <c r="G21" s="7" t="s">
        <v>63</v>
      </c>
      <c r="H21" s="7" t="s">
        <v>744</v>
      </c>
      <c r="I21" s="8" t="s">
        <v>552</v>
      </c>
      <c r="J21" s="10" t="s">
        <v>66</v>
      </c>
      <c r="K21" s="8" t="s">
        <v>745</v>
      </c>
      <c r="L21" s="8" t="s">
        <v>746</v>
      </c>
      <c r="M21" s="7" t="s">
        <v>747</v>
      </c>
      <c r="N21" s="7" t="s">
        <v>748</v>
      </c>
      <c r="O21" s="7" t="s">
        <v>71</v>
      </c>
      <c r="P21" s="8"/>
      <c r="Q21" s="7" t="s">
        <v>649</v>
      </c>
      <c r="R21" s="8"/>
      <c r="S21" s="7" t="s">
        <v>749</v>
      </c>
    </row>
    <row r="22" customFormat="false" ht="23.85" hidden="false" customHeight="false" outlineLevel="0" collapsed="false">
      <c r="A22" s="7" t="s">
        <v>752</v>
      </c>
      <c r="B22" s="8" t="s">
        <v>742</v>
      </c>
      <c r="C22" s="7" t="s">
        <v>160</v>
      </c>
      <c r="D22" s="9" t="n">
        <v>4.9313</v>
      </c>
      <c r="E22" s="7" t="s">
        <v>743</v>
      </c>
      <c r="F22" s="7" t="s">
        <v>79</v>
      </c>
      <c r="G22" s="7" t="s">
        <v>63</v>
      </c>
      <c r="H22" s="7" t="s">
        <v>744</v>
      </c>
      <c r="I22" s="8" t="s">
        <v>552</v>
      </c>
      <c r="J22" s="10" t="s">
        <v>66</v>
      </c>
      <c r="K22" s="8" t="s">
        <v>745</v>
      </c>
      <c r="L22" s="8" t="s">
        <v>746</v>
      </c>
      <c r="M22" s="7" t="s">
        <v>747</v>
      </c>
      <c r="N22" s="7" t="s">
        <v>748</v>
      </c>
      <c r="O22" s="7" t="s">
        <v>71</v>
      </c>
      <c r="P22" s="8"/>
      <c r="Q22" s="7" t="s">
        <v>649</v>
      </c>
      <c r="R22" s="8"/>
      <c r="S22" s="7" t="s">
        <v>749</v>
      </c>
    </row>
    <row r="23" customFormat="false" ht="23.85" hidden="false" customHeight="false" outlineLevel="0" collapsed="false">
      <c r="A23" s="7" t="s">
        <v>753</v>
      </c>
      <c r="B23" s="8" t="s">
        <v>742</v>
      </c>
      <c r="C23" s="7" t="s">
        <v>167</v>
      </c>
      <c r="D23" s="9" t="n">
        <v>4.9464</v>
      </c>
      <c r="E23" s="7" t="s">
        <v>743</v>
      </c>
      <c r="F23" s="7" t="s">
        <v>79</v>
      </c>
      <c r="G23" s="7" t="s">
        <v>63</v>
      </c>
      <c r="H23" s="7" t="s">
        <v>744</v>
      </c>
      <c r="I23" s="8" t="s">
        <v>552</v>
      </c>
      <c r="J23" s="10" t="s">
        <v>66</v>
      </c>
      <c r="K23" s="8" t="s">
        <v>745</v>
      </c>
      <c r="L23" s="8" t="s">
        <v>746</v>
      </c>
      <c r="M23" s="7" t="s">
        <v>747</v>
      </c>
      <c r="N23" s="7" t="s">
        <v>748</v>
      </c>
      <c r="O23" s="7" t="s">
        <v>71</v>
      </c>
      <c r="P23" s="8"/>
      <c r="Q23" s="7" t="s">
        <v>649</v>
      </c>
      <c r="R23" s="8"/>
      <c r="S23" s="7" t="s">
        <v>749</v>
      </c>
    </row>
    <row r="24" customFormat="false" ht="23.85" hidden="false" customHeight="false" outlineLevel="0" collapsed="false">
      <c r="A24" s="7" t="s">
        <v>754</v>
      </c>
      <c r="B24" s="8" t="s">
        <v>742</v>
      </c>
      <c r="C24" s="7" t="s">
        <v>204</v>
      </c>
      <c r="D24" s="9" t="n">
        <v>4.9746</v>
      </c>
      <c r="E24" s="7" t="s">
        <v>743</v>
      </c>
      <c r="F24" s="7" t="s">
        <v>79</v>
      </c>
      <c r="G24" s="7" t="s">
        <v>63</v>
      </c>
      <c r="H24" s="7" t="s">
        <v>744</v>
      </c>
      <c r="I24" s="8" t="s">
        <v>552</v>
      </c>
      <c r="J24" s="10" t="s">
        <v>66</v>
      </c>
      <c r="K24" s="8" t="s">
        <v>745</v>
      </c>
      <c r="L24" s="8" t="s">
        <v>746</v>
      </c>
      <c r="M24" s="7" t="s">
        <v>747</v>
      </c>
      <c r="N24" s="7" t="s">
        <v>748</v>
      </c>
      <c r="O24" s="7" t="s">
        <v>71</v>
      </c>
      <c r="P24" s="8"/>
      <c r="Q24" s="7" t="s">
        <v>649</v>
      </c>
      <c r="R24" s="8"/>
      <c r="S24" s="7" t="s">
        <v>749</v>
      </c>
    </row>
    <row r="25" customFormat="false" ht="23.85" hidden="false" customHeight="false" outlineLevel="0" collapsed="false">
      <c r="A25" s="7" t="s">
        <v>755</v>
      </c>
      <c r="B25" s="8" t="s">
        <v>742</v>
      </c>
      <c r="C25" s="7" t="s">
        <v>237</v>
      </c>
      <c r="D25" s="9" t="n">
        <v>5.0415</v>
      </c>
      <c r="E25" s="7" t="s">
        <v>743</v>
      </c>
      <c r="F25" s="7" t="s">
        <v>79</v>
      </c>
      <c r="G25" s="7" t="s">
        <v>63</v>
      </c>
      <c r="H25" s="7" t="s">
        <v>744</v>
      </c>
      <c r="I25" s="8" t="s">
        <v>552</v>
      </c>
      <c r="J25" s="10" t="s">
        <v>66</v>
      </c>
      <c r="K25" s="8" t="s">
        <v>745</v>
      </c>
      <c r="L25" s="8" t="s">
        <v>746</v>
      </c>
      <c r="M25" s="7" t="s">
        <v>747</v>
      </c>
      <c r="N25" s="7" t="s">
        <v>748</v>
      </c>
      <c r="O25" s="7" t="s">
        <v>71</v>
      </c>
      <c r="P25" s="8"/>
      <c r="Q25" s="7" t="s">
        <v>649</v>
      </c>
      <c r="R25" s="8"/>
      <c r="S25" s="7" t="s">
        <v>749</v>
      </c>
    </row>
    <row r="26" customFormat="false" ht="23.85" hidden="false" customHeight="false" outlineLevel="0" collapsed="false">
      <c r="A26" s="7" t="s">
        <v>756</v>
      </c>
      <c r="B26" s="8" t="s">
        <v>757</v>
      </c>
      <c r="C26" s="7" t="s">
        <v>758</v>
      </c>
      <c r="D26" s="9" t="n">
        <v>5.3414</v>
      </c>
      <c r="E26" s="7" t="s">
        <v>743</v>
      </c>
      <c r="F26" s="7" t="s">
        <v>79</v>
      </c>
      <c r="G26" s="7" t="s">
        <v>63</v>
      </c>
      <c r="H26" s="7" t="s">
        <v>744</v>
      </c>
      <c r="I26" s="8" t="s">
        <v>552</v>
      </c>
      <c r="J26" s="10" t="s">
        <v>66</v>
      </c>
      <c r="K26" s="8" t="s">
        <v>745</v>
      </c>
      <c r="L26" s="8" t="s">
        <v>746</v>
      </c>
      <c r="M26" s="7" t="s">
        <v>747</v>
      </c>
      <c r="N26" s="7" t="s">
        <v>748</v>
      </c>
      <c r="O26" s="7" t="s">
        <v>71</v>
      </c>
      <c r="P26" s="8" t="s">
        <v>759</v>
      </c>
      <c r="Q26" s="7" t="s">
        <v>73</v>
      </c>
      <c r="R26" s="8" t="s">
        <v>760</v>
      </c>
      <c r="S26" s="7" t="s">
        <v>749</v>
      </c>
    </row>
    <row r="27" customFormat="false" ht="23.85" hidden="false" customHeight="false" outlineLevel="0" collapsed="false">
      <c r="A27" s="7" t="s">
        <v>761</v>
      </c>
      <c r="B27" s="8" t="s">
        <v>762</v>
      </c>
      <c r="C27" s="7" t="s">
        <v>763</v>
      </c>
      <c r="D27" s="7"/>
      <c r="E27" s="7" t="s">
        <v>743</v>
      </c>
      <c r="F27" s="7" t="s">
        <v>79</v>
      </c>
      <c r="G27" s="7" t="s">
        <v>63</v>
      </c>
      <c r="H27" s="7" t="s">
        <v>744</v>
      </c>
      <c r="I27" s="8" t="s">
        <v>552</v>
      </c>
      <c r="J27" s="14" t="s">
        <v>342</v>
      </c>
      <c r="K27" s="8" t="s">
        <v>745</v>
      </c>
      <c r="L27" s="8" t="s">
        <v>746</v>
      </c>
      <c r="M27" s="7" t="s">
        <v>747</v>
      </c>
      <c r="N27" s="7" t="s">
        <v>748</v>
      </c>
      <c r="O27" s="7" t="s">
        <v>71</v>
      </c>
      <c r="P27" s="8" t="s">
        <v>764</v>
      </c>
      <c r="Q27" s="7"/>
      <c r="R27" s="8" t="s">
        <v>722</v>
      </c>
      <c r="S27" s="7" t="s">
        <v>749</v>
      </c>
    </row>
    <row r="28" customFormat="false" ht="35.05" hidden="false" customHeight="false" outlineLevel="0" collapsed="false">
      <c r="A28" s="7" t="s">
        <v>765</v>
      </c>
      <c r="B28" s="8" t="s">
        <v>766</v>
      </c>
      <c r="C28" s="7" t="s">
        <v>237</v>
      </c>
      <c r="D28" s="9" t="n">
        <v>8716</v>
      </c>
      <c r="E28" s="7" t="s">
        <v>79</v>
      </c>
      <c r="F28" s="7" t="s">
        <v>79</v>
      </c>
      <c r="G28" s="7" t="s">
        <v>63</v>
      </c>
      <c r="H28" s="7" t="s">
        <v>699</v>
      </c>
      <c r="I28" s="8" t="s">
        <v>552</v>
      </c>
      <c r="J28" s="10" t="s">
        <v>66</v>
      </c>
      <c r="K28" s="8" t="s">
        <v>767</v>
      </c>
      <c r="L28" s="8" t="s">
        <v>768</v>
      </c>
      <c r="M28" s="7" t="s">
        <v>769</v>
      </c>
      <c r="N28" s="7" t="s">
        <v>770</v>
      </c>
      <c r="O28" s="7" t="s">
        <v>71</v>
      </c>
      <c r="P28" s="8" t="s">
        <v>771</v>
      </c>
      <c r="Q28" s="7" t="s">
        <v>73</v>
      </c>
      <c r="R28" s="8"/>
      <c r="S28" s="7" t="s">
        <v>772</v>
      </c>
    </row>
    <row r="29" customFormat="false" ht="35.05" hidden="false" customHeight="false" outlineLevel="0" collapsed="false">
      <c r="A29" s="7" t="s">
        <v>773</v>
      </c>
      <c r="B29" s="8" t="s">
        <v>774</v>
      </c>
      <c r="C29" s="7" t="s">
        <v>237</v>
      </c>
      <c r="D29" s="9" t="n">
        <v>5266</v>
      </c>
      <c r="E29" s="7" t="s">
        <v>79</v>
      </c>
      <c r="F29" s="7" t="s">
        <v>79</v>
      </c>
      <c r="G29" s="7" t="s">
        <v>63</v>
      </c>
      <c r="H29" s="7" t="s">
        <v>699</v>
      </c>
      <c r="I29" s="8" t="s">
        <v>552</v>
      </c>
      <c r="J29" s="10" t="s">
        <v>66</v>
      </c>
      <c r="K29" s="8" t="s">
        <v>767</v>
      </c>
      <c r="L29" s="8" t="s">
        <v>768</v>
      </c>
      <c r="M29" s="7" t="s">
        <v>769</v>
      </c>
      <c r="N29" s="7" t="s">
        <v>770</v>
      </c>
      <c r="O29" s="7" t="s">
        <v>71</v>
      </c>
      <c r="P29" s="8" t="s">
        <v>775</v>
      </c>
      <c r="Q29" s="7" t="s">
        <v>73</v>
      </c>
      <c r="R29" s="8"/>
      <c r="S29" s="7" t="s">
        <v>772</v>
      </c>
    </row>
    <row r="30" customFormat="false" ht="35.05" hidden="false" customHeight="false" outlineLevel="0" collapsed="false">
      <c r="A30" s="7" t="s">
        <v>776</v>
      </c>
      <c r="B30" s="8" t="s">
        <v>777</v>
      </c>
      <c r="C30" s="7" t="s">
        <v>698</v>
      </c>
      <c r="D30" s="9" t="n">
        <v>3557</v>
      </c>
      <c r="E30" s="7" t="s">
        <v>79</v>
      </c>
      <c r="F30" s="7" t="s">
        <v>79</v>
      </c>
      <c r="G30" s="7" t="s">
        <v>63</v>
      </c>
      <c r="H30" s="7" t="s">
        <v>699</v>
      </c>
      <c r="I30" s="8" t="s">
        <v>552</v>
      </c>
      <c r="J30" s="10" t="s">
        <v>66</v>
      </c>
      <c r="K30" s="8" t="s">
        <v>767</v>
      </c>
      <c r="L30" s="8" t="s">
        <v>768</v>
      </c>
      <c r="M30" s="7" t="s">
        <v>769</v>
      </c>
      <c r="N30" s="7" t="s">
        <v>770</v>
      </c>
      <c r="O30" s="7" t="s">
        <v>71</v>
      </c>
      <c r="P30" s="8" t="s">
        <v>778</v>
      </c>
      <c r="Q30" s="7" t="s">
        <v>73</v>
      </c>
      <c r="R30" s="8" t="s">
        <v>779</v>
      </c>
      <c r="S30" s="7" t="s">
        <v>772</v>
      </c>
    </row>
    <row r="31" customFormat="false" ht="23.85" hidden="false" customHeight="false" outlineLevel="0" collapsed="false">
      <c r="A31" s="7" t="s">
        <v>780</v>
      </c>
      <c r="B31" s="8" t="s">
        <v>777</v>
      </c>
      <c r="C31" s="7" t="s">
        <v>781</v>
      </c>
      <c r="D31" s="9" t="n">
        <v>3403</v>
      </c>
      <c r="E31" s="7" t="s">
        <v>79</v>
      </c>
      <c r="F31" s="7" t="s">
        <v>79</v>
      </c>
      <c r="G31" s="7" t="s">
        <v>63</v>
      </c>
      <c r="H31" s="7" t="s">
        <v>699</v>
      </c>
      <c r="I31" s="8" t="s">
        <v>552</v>
      </c>
      <c r="J31" s="10" t="s">
        <v>66</v>
      </c>
      <c r="K31" s="8" t="s">
        <v>629</v>
      </c>
      <c r="L31" s="8" t="s">
        <v>782</v>
      </c>
      <c r="M31" s="7" t="s">
        <v>631</v>
      </c>
      <c r="N31" s="7" t="s">
        <v>632</v>
      </c>
      <c r="O31" s="7" t="s">
        <v>71</v>
      </c>
      <c r="P31" s="8"/>
      <c r="Q31" s="7" t="s">
        <v>73</v>
      </c>
      <c r="R31" s="8"/>
      <c r="S31" s="7" t="s">
        <v>783</v>
      </c>
    </row>
    <row r="32" customFormat="false" ht="35.05" hidden="false" customHeight="false" outlineLevel="0" collapsed="false">
      <c r="A32" s="7" t="s">
        <v>784</v>
      </c>
      <c r="B32" s="8" t="s">
        <v>777</v>
      </c>
      <c r="C32" s="7" t="s">
        <v>785</v>
      </c>
      <c r="D32" s="9" t="n">
        <v>2620</v>
      </c>
      <c r="E32" s="7" t="s">
        <v>79</v>
      </c>
      <c r="F32" s="7" t="s">
        <v>79</v>
      </c>
      <c r="G32" s="7" t="s">
        <v>63</v>
      </c>
      <c r="H32" s="7" t="s">
        <v>699</v>
      </c>
      <c r="I32" s="8" t="s">
        <v>552</v>
      </c>
      <c r="J32" s="10" t="s">
        <v>66</v>
      </c>
      <c r="K32" s="8" t="s">
        <v>767</v>
      </c>
      <c r="L32" s="8" t="s">
        <v>768</v>
      </c>
      <c r="M32" s="7" t="s">
        <v>769</v>
      </c>
      <c r="N32" s="7" t="s">
        <v>770</v>
      </c>
      <c r="O32" s="7" t="s">
        <v>71</v>
      </c>
      <c r="P32" s="8"/>
      <c r="Q32" s="7" t="s">
        <v>73</v>
      </c>
      <c r="R32" s="8"/>
      <c r="S32" s="7" t="s">
        <v>772</v>
      </c>
    </row>
    <row r="33" customFormat="false" ht="35.05" hidden="false" customHeight="false" outlineLevel="0" collapsed="false">
      <c r="A33" s="7" t="s">
        <v>786</v>
      </c>
      <c r="B33" s="8" t="s">
        <v>777</v>
      </c>
      <c r="C33" s="7" t="s">
        <v>787</v>
      </c>
      <c r="D33" s="9" t="n">
        <v>2258</v>
      </c>
      <c r="E33" s="7" t="s">
        <v>79</v>
      </c>
      <c r="F33" s="7" t="s">
        <v>79</v>
      </c>
      <c r="G33" s="7" t="s">
        <v>63</v>
      </c>
      <c r="H33" s="7" t="s">
        <v>699</v>
      </c>
      <c r="I33" s="8" t="s">
        <v>552</v>
      </c>
      <c r="J33" s="10" t="s">
        <v>66</v>
      </c>
      <c r="K33" s="8" t="s">
        <v>767</v>
      </c>
      <c r="L33" s="8" t="s">
        <v>768</v>
      </c>
      <c r="M33" s="7" t="s">
        <v>769</v>
      </c>
      <c r="N33" s="7" t="s">
        <v>770</v>
      </c>
      <c r="O33" s="7" t="s">
        <v>71</v>
      </c>
      <c r="P33" s="8"/>
      <c r="Q33" s="7" t="s">
        <v>73</v>
      </c>
      <c r="R33" s="8"/>
      <c r="S33" s="7" t="s">
        <v>772</v>
      </c>
    </row>
    <row r="34" customFormat="false" ht="35.05" hidden="false" customHeight="false" outlineLevel="0" collapsed="false">
      <c r="A34" s="7" t="s">
        <v>788</v>
      </c>
      <c r="B34" s="8" t="s">
        <v>777</v>
      </c>
      <c r="C34" s="7" t="s">
        <v>789</v>
      </c>
      <c r="D34" s="9" t="n">
        <v>1794</v>
      </c>
      <c r="E34" s="7" t="s">
        <v>79</v>
      </c>
      <c r="F34" s="7" t="s">
        <v>79</v>
      </c>
      <c r="G34" s="7" t="s">
        <v>63</v>
      </c>
      <c r="H34" s="7" t="s">
        <v>699</v>
      </c>
      <c r="I34" s="8" t="s">
        <v>552</v>
      </c>
      <c r="J34" s="10" t="s">
        <v>66</v>
      </c>
      <c r="K34" s="8" t="s">
        <v>767</v>
      </c>
      <c r="L34" s="8" t="s">
        <v>768</v>
      </c>
      <c r="M34" s="7" t="s">
        <v>769</v>
      </c>
      <c r="N34" s="7" t="s">
        <v>770</v>
      </c>
      <c r="O34" s="7" t="s">
        <v>71</v>
      </c>
      <c r="P34" s="8" t="s">
        <v>790</v>
      </c>
      <c r="Q34" s="7" t="s">
        <v>73</v>
      </c>
      <c r="R34" s="8"/>
      <c r="S34" s="7" t="s">
        <v>772</v>
      </c>
    </row>
    <row r="35" customFormat="false" ht="35.05" hidden="false" customHeight="false" outlineLevel="0" collapsed="false">
      <c r="A35" s="7" t="s">
        <v>791</v>
      </c>
      <c r="B35" s="8" t="s">
        <v>774</v>
      </c>
      <c r="C35" s="7" t="s">
        <v>698</v>
      </c>
      <c r="D35" s="9" t="n">
        <v>5914</v>
      </c>
      <c r="E35" s="7" t="s">
        <v>79</v>
      </c>
      <c r="F35" s="7" t="s">
        <v>79</v>
      </c>
      <c r="G35" s="7" t="s">
        <v>63</v>
      </c>
      <c r="H35" s="7" t="s">
        <v>699</v>
      </c>
      <c r="I35" s="8" t="s">
        <v>552</v>
      </c>
      <c r="J35" s="10" t="s">
        <v>66</v>
      </c>
      <c r="K35" s="8" t="s">
        <v>767</v>
      </c>
      <c r="L35" s="8" t="s">
        <v>768</v>
      </c>
      <c r="M35" s="7" t="s">
        <v>769</v>
      </c>
      <c r="N35" s="7" t="s">
        <v>770</v>
      </c>
      <c r="O35" s="7" t="s">
        <v>71</v>
      </c>
      <c r="P35" s="8"/>
      <c r="Q35" s="7" t="s">
        <v>73</v>
      </c>
      <c r="R35" s="8"/>
      <c r="S35" s="7" t="s">
        <v>772</v>
      </c>
    </row>
    <row r="36" customFormat="false" ht="35.05" hidden="false" customHeight="false" outlineLevel="0" collapsed="false">
      <c r="A36" s="7" t="s">
        <v>792</v>
      </c>
      <c r="B36" s="8" t="s">
        <v>793</v>
      </c>
      <c r="C36" s="7" t="s">
        <v>204</v>
      </c>
      <c r="D36" s="9" t="n">
        <v>14.2637</v>
      </c>
      <c r="E36" s="7" t="s">
        <v>794</v>
      </c>
      <c r="F36" s="7" t="s">
        <v>341</v>
      </c>
      <c r="G36" s="7" t="s">
        <v>63</v>
      </c>
      <c r="H36" s="7" t="s">
        <v>699</v>
      </c>
      <c r="I36" s="8" t="s">
        <v>552</v>
      </c>
      <c r="J36" s="10" t="s">
        <v>66</v>
      </c>
      <c r="K36" s="8" t="s">
        <v>795</v>
      </c>
      <c r="L36" s="8" t="s">
        <v>796</v>
      </c>
      <c r="M36" s="7" t="s">
        <v>797</v>
      </c>
      <c r="N36" s="7" t="s">
        <v>798</v>
      </c>
      <c r="O36" s="7" t="s">
        <v>71</v>
      </c>
      <c r="P36" s="8" t="s">
        <v>799</v>
      </c>
      <c r="Q36" s="7" t="s">
        <v>649</v>
      </c>
      <c r="R36" s="8"/>
      <c r="S36" s="7" t="s">
        <v>800</v>
      </c>
    </row>
    <row r="37" customFormat="false" ht="35.05" hidden="false" customHeight="false" outlineLevel="0" collapsed="false">
      <c r="A37" s="7" t="s">
        <v>801</v>
      </c>
      <c r="B37" s="8" t="s">
        <v>802</v>
      </c>
      <c r="C37" s="7" t="s">
        <v>204</v>
      </c>
      <c r="D37" s="9" t="n">
        <v>30.1912</v>
      </c>
      <c r="E37" s="7" t="s">
        <v>794</v>
      </c>
      <c r="F37" s="7" t="s">
        <v>341</v>
      </c>
      <c r="G37" s="7" t="s">
        <v>63</v>
      </c>
      <c r="H37" s="7" t="s">
        <v>699</v>
      </c>
      <c r="I37" s="8" t="s">
        <v>552</v>
      </c>
      <c r="J37" s="10" t="s">
        <v>66</v>
      </c>
      <c r="K37" s="8" t="s">
        <v>795</v>
      </c>
      <c r="L37" s="8" t="s">
        <v>796</v>
      </c>
      <c r="M37" s="7" t="s">
        <v>797</v>
      </c>
      <c r="N37" s="7" t="s">
        <v>798</v>
      </c>
      <c r="O37" s="7" t="s">
        <v>71</v>
      </c>
      <c r="P37" s="8" t="s">
        <v>803</v>
      </c>
      <c r="Q37" s="7" t="s">
        <v>649</v>
      </c>
      <c r="R37" s="8"/>
      <c r="S37" s="7" t="s">
        <v>800</v>
      </c>
    </row>
    <row r="38" customFormat="false" ht="23.85" hidden="false" customHeight="false" outlineLevel="0" collapsed="false">
      <c r="A38" s="7" t="s">
        <v>804</v>
      </c>
      <c r="B38" s="8" t="s">
        <v>805</v>
      </c>
      <c r="C38" s="7" t="s">
        <v>237</v>
      </c>
      <c r="D38" s="9" t="n">
        <v>13.9</v>
      </c>
      <c r="E38" s="7" t="s">
        <v>794</v>
      </c>
      <c r="F38" s="7" t="s">
        <v>341</v>
      </c>
      <c r="G38" s="7" t="s">
        <v>63</v>
      </c>
      <c r="H38" s="7" t="s">
        <v>699</v>
      </c>
      <c r="I38" s="8" t="s">
        <v>806</v>
      </c>
      <c r="J38" s="10" t="s">
        <v>66</v>
      </c>
      <c r="K38" s="8" t="s">
        <v>807</v>
      </c>
      <c r="L38" s="8" t="s">
        <v>808</v>
      </c>
      <c r="M38" s="7" t="s">
        <v>809</v>
      </c>
      <c r="N38" s="7" t="s">
        <v>556</v>
      </c>
      <c r="O38" s="7" t="s">
        <v>71</v>
      </c>
      <c r="P38" s="8" t="s">
        <v>810</v>
      </c>
      <c r="Q38" s="7" t="s">
        <v>73</v>
      </c>
      <c r="R38" s="8" t="s">
        <v>811</v>
      </c>
      <c r="S38" s="7" t="s">
        <v>812</v>
      </c>
    </row>
    <row r="39" customFormat="false" ht="23.85" hidden="false" customHeight="false" outlineLevel="0" collapsed="false">
      <c r="A39" s="7" t="s">
        <v>813</v>
      </c>
      <c r="B39" s="8" t="s">
        <v>814</v>
      </c>
      <c r="C39" s="7" t="s">
        <v>237</v>
      </c>
      <c r="D39" s="9" t="n">
        <v>-2.4</v>
      </c>
      <c r="E39" s="7" t="s">
        <v>127</v>
      </c>
      <c r="F39" s="7" t="s">
        <v>341</v>
      </c>
      <c r="G39" s="7" t="s">
        <v>63</v>
      </c>
      <c r="H39" s="7" t="s">
        <v>699</v>
      </c>
      <c r="I39" s="8" t="s">
        <v>552</v>
      </c>
      <c r="J39" s="10" t="s">
        <v>66</v>
      </c>
      <c r="K39" s="8" t="s">
        <v>807</v>
      </c>
      <c r="L39" s="8" t="s">
        <v>808</v>
      </c>
      <c r="M39" s="7" t="s">
        <v>809</v>
      </c>
      <c r="N39" s="7" t="s">
        <v>556</v>
      </c>
      <c r="O39" s="7" t="s">
        <v>71</v>
      </c>
      <c r="P39" s="8"/>
      <c r="Q39" s="7" t="s">
        <v>73</v>
      </c>
      <c r="R39" s="8"/>
      <c r="S39" s="7" t="s">
        <v>812</v>
      </c>
    </row>
    <row r="40" customFormat="false" ht="23.85" hidden="false" customHeight="false" outlineLevel="0" collapsed="false">
      <c r="A40" s="7" t="s">
        <v>815</v>
      </c>
      <c r="B40" s="8" t="s">
        <v>802</v>
      </c>
      <c r="C40" s="7" t="s">
        <v>237</v>
      </c>
      <c r="D40" s="9" t="n">
        <v>29.6</v>
      </c>
      <c r="E40" s="7" t="s">
        <v>794</v>
      </c>
      <c r="F40" s="7" t="s">
        <v>341</v>
      </c>
      <c r="G40" s="7" t="s">
        <v>63</v>
      </c>
      <c r="H40" s="7" t="s">
        <v>699</v>
      </c>
      <c r="I40" s="8" t="s">
        <v>806</v>
      </c>
      <c r="J40" s="10" t="s">
        <v>66</v>
      </c>
      <c r="K40" s="8" t="s">
        <v>807</v>
      </c>
      <c r="L40" s="8" t="s">
        <v>808</v>
      </c>
      <c r="M40" s="7" t="s">
        <v>809</v>
      </c>
      <c r="N40" s="7" t="s">
        <v>556</v>
      </c>
      <c r="O40" s="7" t="s">
        <v>71</v>
      </c>
      <c r="P40" s="8" t="s">
        <v>816</v>
      </c>
      <c r="Q40" s="7" t="s">
        <v>73</v>
      </c>
      <c r="R40" s="8"/>
      <c r="S40" s="7" t="s">
        <v>812</v>
      </c>
    </row>
    <row r="41" customFormat="false" ht="23.85" hidden="false" customHeight="false" outlineLevel="0" collapsed="false">
      <c r="A41" s="7" t="s">
        <v>817</v>
      </c>
      <c r="B41" s="8" t="s">
        <v>818</v>
      </c>
      <c r="C41" s="7" t="s">
        <v>237</v>
      </c>
      <c r="D41" s="9" t="n">
        <v>-1.7</v>
      </c>
      <c r="E41" s="7" t="s">
        <v>127</v>
      </c>
      <c r="F41" s="7" t="s">
        <v>341</v>
      </c>
      <c r="G41" s="7" t="s">
        <v>63</v>
      </c>
      <c r="H41" s="7" t="s">
        <v>699</v>
      </c>
      <c r="I41" s="8" t="s">
        <v>552</v>
      </c>
      <c r="J41" s="10" t="s">
        <v>66</v>
      </c>
      <c r="K41" s="8" t="s">
        <v>807</v>
      </c>
      <c r="L41" s="8" t="s">
        <v>808</v>
      </c>
      <c r="M41" s="7" t="s">
        <v>809</v>
      </c>
      <c r="N41" s="7" t="s">
        <v>556</v>
      </c>
      <c r="O41" s="7" t="s">
        <v>71</v>
      </c>
      <c r="P41" s="8"/>
      <c r="Q41" s="7" t="s">
        <v>73</v>
      </c>
      <c r="R41" s="8"/>
      <c r="S41" s="7" t="s">
        <v>812</v>
      </c>
    </row>
    <row r="42" customFormat="false" ht="35.05" hidden="false" customHeight="false" outlineLevel="0" collapsed="false">
      <c r="A42" s="7" t="s">
        <v>819</v>
      </c>
      <c r="B42" s="8" t="s">
        <v>820</v>
      </c>
      <c r="C42" s="7" t="s">
        <v>204</v>
      </c>
      <c r="D42" s="9" t="n">
        <v>30.9</v>
      </c>
      <c r="E42" s="7" t="s">
        <v>127</v>
      </c>
      <c r="F42" s="7" t="s">
        <v>341</v>
      </c>
      <c r="G42" s="7" t="s">
        <v>63</v>
      </c>
      <c r="H42" s="7" t="s">
        <v>699</v>
      </c>
      <c r="I42" s="8" t="s">
        <v>552</v>
      </c>
      <c r="J42" s="10" t="s">
        <v>66</v>
      </c>
      <c r="K42" s="8" t="s">
        <v>795</v>
      </c>
      <c r="L42" s="8" t="s">
        <v>796</v>
      </c>
      <c r="M42" s="7" t="s">
        <v>797</v>
      </c>
      <c r="N42" s="7" t="s">
        <v>798</v>
      </c>
      <c r="O42" s="7" t="s">
        <v>71</v>
      </c>
      <c r="P42" s="8"/>
      <c r="Q42" s="7" t="s">
        <v>649</v>
      </c>
      <c r="R42" s="8"/>
      <c r="S42" s="7" t="s">
        <v>800</v>
      </c>
    </row>
    <row r="43" customFormat="false" ht="23.85" hidden="false" customHeight="false" outlineLevel="0" collapsed="false">
      <c r="A43" s="7" t="s">
        <v>821</v>
      </c>
      <c r="B43" s="8" t="s">
        <v>820</v>
      </c>
      <c r="C43" s="7" t="s">
        <v>237</v>
      </c>
      <c r="D43" s="9" t="n">
        <v>29.8</v>
      </c>
      <c r="E43" s="7" t="s">
        <v>127</v>
      </c>
      <c r="F43" s="7" t="s">
        <v>341</v>
      </c>
      <c r="G43" s="7" t="s">
        <v>63</v>
      </c>
      <c r="H43" s="7" t="s">
        <v>699</v>
      </c>
      <c r="I43" s="8" t="s">
        <v>552</v>
      </c>
      <c r="J43" s="10" t="s">
        <v>66</v>
      </c>
      <c r="K43" s="8" t="s">
        <v>807</v>
      </c>
      <c r="L43" s="8" t="s">
        <v>808</v>
      </c>
      <c r="M43" s="7" t="s">
        <v>809</v>
      </c>
      <c r="N43" s="7" t="s">
        <v>556</v>
      </c>
      <c r="O43" s="7" t="s">
        <v>71</v>
      </c>
      <c r="P43" s="8"/>
      <c r="Q43" s="7" t="s">
        <v>73</v>
      </c>
      <c r="R43" s="8"/>
      <c r="S43" s="7" t="s">
        <v>812</v>
      </c>
    </row>
    <row r="44" customFormat="false" ht="35.05" hidden="false" customHeight="false" outlineLevel="0" collapsed="false">
      <c r="A44" s="7" t="s">
        <v>822</v>
      </c>
      <c r="B44" s="8" t="s">
        <v>802</v>
      </c>
      <c r="C44" s="7" t="s">
        <v>89</v>
      </c>
      <c r="D44" s="9" t="n">
        <v>29.8704</v>
      </c>
      <c r="E44" s="7" t="s">
        <v>794</v>
      </c>
      <c r="F44" s="7" t="s">
        <v>341</v>
      </c>
      <c r="G44" s="7" t="s">
        <v>63</v>
      </c>
      <c r="H44" s="7" t="s">
        <v>699</v>
      </c>
      <c r="I44" s="8" t="s">
        <v>552</v>
      </c>
      <c r="J44" s="10" t="s">
        <v>66</v>
      </c>
      <c r="K44" s="8" t="s">
        <v>823</v>
      </c>
      <c r="L44" s="8" t="s">
        <v>824</v>
      </c>
      <c r="M44" s="7" t="s">
        <v>108</v>
      </c>
      <c r="N44" s="7" t="s">
        <v>798</v>
      </c>
      <c r="O44" s="7" t="s">
        <v>71</v>
      </c>
      <c r="P44" s="8"/>
      <c r="Q44" s="7" t="s">
        <v>73</v>
      </c>
      <c r="R44" s="8" t="s">
        <v>825</v>
      </c>
      <c r="S44" s="7" t="s">
        <v>826</v>
      </c>
    </row>
    <row r="45" customFormat="false" ht="35.05" hidden="false" customHeight="false" outlineLevel="0" collapsed="false">
      <c r="A45" s="7" t="s">
        <v>827</v>
      </c>
      <c r="B45" s="8" t="s">
        <v>828</v>
      </c>
      <c r="C45" s="7" t="s">
        <v>204</v>
      </c>
      <c r="D45" s="9" t="n">
        <v>7.7</v>
      </c>
      <c r="E45" s="7" t="s">
        <v>127</v>
      </c>
      <c r="F45" s="7" t="s">
        <v>341</v>
      </c>
      <c r="G45" s="7" t="s">
        <v>63</v>
      </c>
      <c r="H45" s="7" t="s">
        <v>699</v>
      </c>
      <c r="I45" s="8" t="s">
        <v>552</v>
      </c>
      <c r="J45" s="10" t="s">
        <v>66</v>
      </c>
      <c r="K45" s="8" t="s">
        <v>823</v>
      </c>
      <c r="L45" s="8" t="s">
        <v>824</v>
      </c>
      <c r="M45" s="7" t="s">
        <v>108</v>
      </c>
      <c r="N45" s="7" t="s">
        <v>798</v>
      </c>
      <c r="O45" s="7" t="s">
        <v>71</v>
      </c>
      <c r="P45" s="8"/>
      <c r="Q45" s="7" t="s">
        <v>73</v>
      </c>
      <c r="R45" s="8" t="s">
        <v>829</v>
      </c>
      <c r="S45" s="7" t="s">
        <v>826</v>
      </c>
    </row>
    <row r="46" customFormat="false" ht="35.05" hidden="false" customHeight="false" outlineLevel="0" collapsed="false">
      <c r="A46" s="7" t="s">
        <v>830</v>
      </c>
      <c r="B46" s="8" t="s">
        <v>831</v>
      </c>
      <c r="C46" s="7" t="s">
        <v>204</v>
      </c>
      <c r="D46" s="9" t="n">
        <v>2.3949</v>
      </c>
      <c r="E46" s="7" t="s">
        <v>794</v>
      </c>
      <c r="F46" s="7" t="s">
        <v>341</v>
      </c>
      <c r="G46" s="7" t="s">
        <v>63</v>
      </c>
      <c r="H46" s="7" t="s">
        <v>699</v>
      </c>
      <c r="I46" s="8" t="s">
        <v>552</v>
      </c>
      <c r="J46" s="10" t="s">
        <v>66</v>
      </c>
      <c r="K46" s="8" t="s">
        <v>823</v>
      </c>
      <c r="L46" s="8" t="s">
        <v>824</v>
      </c>
      <c r="M46" s="7" t="s">
        <v>108</v>
      </c>
      <c r="N46" s="7" t="s">
        <v>798</v>
      </c>
      <c r="O46" s="7" t="s">
        <v>71</v>
      </c>
      <c r="P46" s="8" t="s">
        <v>832</v>
      </c>
      <c r="Q46" s="7" t="s">
        <v>73</v>
      </c>
      <c r="R46" s="8"/>
      <c r="S46" s="7" t="s">
        <v>826</v>
      </c>
    </row>
    <row r="47" customFormat="false" ht="35.05" hidden="false" customHeight="false" outlineLevel="0" collapsed="false">
      <c r="A47" s="7" t="s">
        <v>833</v>
      </c>
      <c r="B47" s="8" t="s">
        <v>834</v>
      </c>
      <c r="C47" s="7" t="s">
        <v>204</v>
      </c>
      <c r="D47" s="9" t="n">
        <v>1.998</v>
      </c>
      <c r="E47" s="7" t="s">
        <v>794</v>
      </c>
      <c r="F47" s="7" t="s">
        <v>341</v>
      </c>
      <c r="G47" s="7" t="s">
        <v>835</v>
      </c>
      <c r="H47" s="7" t="s">
        <v>699</v>
      </c>
      <c r="I47" s="8" t="s">
        <v>552</v>
      </c>
      <c r="J47" s="10" t="s">
        <v>66</v>
      </c>
      <c r="K47" s="8" t="s">
        <v>795</v>
      </c>
      <c r="L47" s="8" t="s">
        <v>796</v>
      </c>
      <c r="M47" s="7" t="s">
        <v>797</v>
      </c>
      <c r="N47" s="7" t="s">
        <v>798</v>
      </c>
      <c r="O47" s="7" t="s">
        <v>71</v>
      </c>
      <c r="P47" s="8"/>
      <c r="Q47" s="7" t="s">
        <v>649</v>
      </c>
      <c r="R47" s="8"/>
      <c r="S47" s="7" t="s">
        <v>800</v>
      </c>
    </row>
    <row r="48" customFormat="false" ht="35.05" hidden="false" customHeight="false" outlineLevel="0" collapsed="false">
      <c r="A48" s="7" t="s">
        <v>836</v>
      </c>
      <c r="B48" s="8" t="s">
        <v>837</v>
      </c>
      <c r="C48" s="7" t="s">
        <v>204</v>
      </c>
      <c r="D48" s="9" t="n">
        <v>3.955</v>
      </c>
      <c r="E48" s="7" t="s">
        <v>794</v>
      </c>
      <c r="F48" s="7" t="s">
        <v>341</v>
      </c>
      <c r="G48" s="7" t="s">
        <v>835</v>
      </c>
      <c r="H48" s="7" t="s">
        <v>699</v>
      </c>
      <c r="I48" s="8" t="s">
        <v>552</v>
      </c>
      <c r="J48" s="10" t="s">
        <v>66</v>
      </c>
      <c r="K48" s="8" t="s">
        <v>795</v>
      </c>
      <c r="L48" s="8" t="s">
        <v>796</v>
      </c>
      <c r="M48" s="7" t="s">
        <v>797</v>
      </c>
      <c r="N48" s="7" t="s">
        <v>798</v>
      </c>
      <c r="O48" s="7" t="s">
        <v>71</v>
      </c>
      <c r="P48" s="8"/>
      <c r="Q48" s="7" t="s">
        <v>649</v>
      </c>
      <c r="R48" s="8"/>
      <c r="S48" s="7" t="s">
        <v>800</v>
      </c>
    </row>
    <row r="49" customFormat="false" ht="35.05" hidden="false" customHeight="false" outlineLevel="0" collapsed="false">
      <c r="A49" s="7" t="s">
        <v>838</v>
      </c>
      <c r="B49" s="8" t="s">
        <v>839</v>
      </c>
      <c r="C49" s="7" t="s">
        <v>204</v>
      </c>
      <c r="D49" s="9" t="n">
        <v>-0.9</v>
      </c>
      <c r="E49" s="7" t="s">
        <v>537</v>
      </c>
      <c r="F49" s="7" t="s">
        <v>538</v>
      </c>
      <c r="G49" s="7" t="s">
        <v>63</v>
      </c>
      <c r="H49" s="7" t="s">
        <v>699</v>
      </c>
      <c r="I49" s="8" t="s">
        <v>552</v>
      </c>
      <c r="J49" s="10" t="s">
        <v>66</v>
      </c>
      <c r="K49" s="8" t="s">
        <v>541</v>
      </c>
      <c r="L49" s="8" t="s">
        <v>542</v>
      </c>
      <c r="M49" s="7" t="s">
        <v>543</v>
      </c>
      <c r="N49" s="7" t="s">
        <v>544</v>
      </c>
      <c r="O49" s="7" t="s">
        <v>71</v>
      </c>
      <c r="P49" s="8"/>
      <c r="Q49" s="7" t="s">
        <v>73</v>
      </c>
      <c r="R49" s="8"/>
      <c r="S49" s="7" t="s">
        <v>547</v>
      </c>
    </row>
    <row r="50" customFormat="false" ht="35.05" hidden="false" customHeight="false" outlineLevel="0" collapsed="false">
      <c r="A50" s="7" t="s">
        <v>840</v>
      </c>
      <c r="B50" s="8" t="s">
        <v>839</v>
      </c>
      <c r="C50" s="7" t="s">
        <v>237</v>
      </c>
      <c r="D50" s="9" t="n">
        <v>-2.2</v>
      </c>
      <c r="E50" s="7" t="s">
        <v>537</v>
      </c>
      <c r="F50" s="7" t="s">
        <v>538</v>
      </c>
      <c r="G50" s="7" t="s">
        <v>63</v>
      </c>
      <c r="H50" s="7" t="s">
        <v>699</v>
      </c>
      <c r="I50" s="8" t="s">
        <v>552</v>
      </c>
      <c r="J50" s="10" t="s">
        <v>66</v>
      </c>
      <c r="K50" s="8" t="s">
        <v>553</v>
      </c>
      <c r="L50" s="8" t="s">
        <v>554</v>
      </c>
      <c r="M50" s="7" t="s">
        <v>555</v>
      </c>
      <c r="N50" s="7" t="s">
        <v>556</v>
      </c>
      <c r="O50" s="7" t="s">
        <v>71</v>
      </c>
      <c r="P50" s="8"/>
      <c r="Q50" s="7" t="s">
        <v>73</v>
      </c>
      <c r="R50" s="8"/>
      <c r="S50" s="7" t="s">
        <v>558</v>
      </c>
    </row>
    <row r="51" customFormat="false" ht="23.85" hidden="false" customHeight="false" outlineLevel="0" collapsed="false">
      <c r="A51" s="7" t="s">
        <v>841</v>
      </c>
      <c r="B51" s="8" t="s">
        <v>839</v>
      </c>
      <c r="C51" s="7" t="s">
        <v>271</v>
      </c>
      <c r="D51" s="9" t="n">
        <v>-9.1</v>
      </c>
      <c r="E51" s="7" t="s">
        <v>537</v>
      </c>
      <c r="F51" s="7" t="s">
        <v>538</v>
      </c>
      <c r="G51" s="7" t="s">
        <v>63</v>
      </c>
      <c r="H51" s="7" t="s">
        <v>699</v>
      </c>
      <c r="I51" s="8" t="s">
        <v>552</v>
      </c>
      <c r="J51" s="10" t="s">
        <v>66</v>
      </c>
      <c r="K51" s="8" t="s">
        <v>561</v>
      </c>
      <c r="L51" s="8" t="s">
        <v>562</v>
      </c>
      <c r="M51" s="7" t="s">
        <v>563</v>
      </c>
      <c r="N51" s="7" t="s">
        <v>463</v>
      </c>
      <c r="O51" s="7" t="s">
        <v>71</v>
      </c>
      <c r="P51" s="8"/>
      <c r="Q51" s="7" t="s">
        <v>73</v>
      </c>
      <c r="R51" s="8"/>
      <c r="S51" s="7" t="s">
        <v>565</v>
      </c>
    </row>
    <row r="52" customFormat="false" ht="46.25" hidden="false" customHeight="false" outlineLevel="0" collapsed="false">
      <c r="A52" s="7" t="s">
        <v>842</v>
      </c>
      <c r="B52" s="8" t="s">
        <v>843</v>
      </c>
      <c r="C52" s="7" t="s">
        <v>237</v>
      </c>
      <c r="D52" s="9" t="n">
        <v>0.2</v>
      </c>
      <c r="E52" s="7" t="s">
        <v>537</v>
      </c>
      <c r="F52" s="7" t="s">
        <v>538</v>
      </c>
      <c r="G52" s="7" t="s">
        <v>63</v>
      </c>
      <c r="H52" s="7" t="s">
        <v>699</v>
      </c>
      <c r="I52" s="8" t="s">
        <v>552</v>
      </c>
      <c r="J52" s="10" t="s">
        <v>66</v>
      </c>
      <c r="K52" s="8" t="s">
        <v>844</v>
      </c>
      <c r="L52" s="8" t="s">
        <v>845</v>
      </c>
      <c r="M52" s="7" t="s">
        <v>846</v>
      </c>
      <c r="N52" s="7" t="s">
        <v>556</v>
      </c>
      <c r="O52" s="7" t="s">
        <v>71</v>
      </c>
      <c r="P52" s="8"/>
      <c r="Q52" s="7" t="s">
        <v>73</v>
      </c>
      <c r="R52" s="8" t="s">
        <v>847</v>
      </c>
      <c r="S52" s="7" t="s">
        <v>848</v>
      </c>
    </row>
    <row r="53" customFormat="false" ht="46.25" hidden="false" customHeight="false" outlineLevel="0" collapsed="false">
      <c r="A53" s="7" t="s">
        <v>849</v>
      </c>
      <c r="B53" s="8" t="s">
        <v>850</v>
      </c>
      <c r="C53" s="7" t="s">
        <v>237</v>
      </c>
      <c r="D53" s="9" t="n">
        <v>-2.7</v>
      </c>
      <c r="E53" s="7" t="s">
        <v>537</v>
      </c>
      <c r="F53" s="7" t="s">
        <v>538</v>
      </c>
      <c r="G53" s="7" t="s">
        <v>63</v>
      </c>
      <c r="H53" s="7" t="s">
        <v>699</v>
      </c>
      <c r="I53" s="8" t="s">
        <v>552</v>
      </c>
      <c r="J53" s="10" t="s">
        <v>66</v>
      </c>
      <c r="K53" s="8" t="s">
        <v>844</v>
      </c>
      <c r="L53" s="8" t="s">
        <v>845</v>
      </c>
      <c r="M53" s="7" t="s">
        <v>846</v>
      </c>
      <c r="N53" s="7" t="s">
        <v>556</v>
      </c>
      <c r="O53" s="7" t="s">
        <v>71</v>
      </c>
      <c r="P53" s="8"/>
      <c r="Q53" s="7" t="s">
        <v>73</v>
      </c>
      <c r="R53" s="8"/>
      <c r="S53" s="7" t="s">
        <v>848</v>
      </c>
    </row>
    <row r="54" customFormat="false" ht="35.05" hidden="false" customHeight="false" outlineLevel="0" collapsed="false">
      <c r="A54" s="7" t="s">
        <v>851</v>
      </c>
      <c r="B54" s="8" t="s">
        <v>852</v>
      </c>
      <c r="C54" s="7" t="s">
        <v>340</v>
      </c>
      <c r="D54" s="7"/>
      <c r="E54" s="7" t="s">
        <v>79</v>
      </c>
      <c r="F54" s="7" t="s">
        <v>341</v>
      </c>
      <c r="G54" s="7" t="s">
        <v>63</v>
      </c>
      <c r="H54" s="7" t="s">
        <v>853</v>
      </c>
      <c r="I54" s="8" t="s">
        <v>552</v>
      </c>
      <c r="J54" s="14" t="s">
        <v>342</v>
      </c>
      <c r="K54" s="8" t="s">
        <v>767</v>
      </c>
      <c r="L54" s="8" t="s">
        <v>768</v>
      </c>
      <c r="M54" s="7" t="s">
        <v>769</v>
      </c>
      <c r="N54" s="7" t="s">
        <v>770</v>
      </c>
      <c r="O54" s="7" t="s">
        <v>71</v>
      </c>
      <c r="P54" s="8" t="s">
        <v>854</v>
      </c>
      <c r="Q54" s="7"/>
      <c r="R54" s="8" t="s">
        <v>722</v>
      </c>
      <c r="S54" s="7" t="s">
        <v>772</v>
      </c>
    </row>
    <row r="55" customFormat="false" ht="35.05" hidden="false" customHeight="false" outlineLevel="0" collapsed="false">
      <c r="A55" s="7" t="s">
        <v>855</v>
      </c>
      <c r="B55" s="8" t="s">
        <v>856</v>
      </c>
      <c r="C55" s="7" t="s">
        <v>237</v>
      </c>
      <c r="D55" s="9" t="n">
        <v>99</v>
      </c>
      <c r="E55" s="7" t="s">
        <v>550</v>
      </c>
      <c r="F55" s="7" t="s">
        <v>341</v>
      </c>
      <c r="G55" s="7" t="s">
        <v>63</v>
      </c>
      <c r="H55" s="7" t="s">
        <v>699</v>
      </c>
      <c r="I55" s="8" t="s">
        <v>552</v>
      </c>
      <c r="J55" s="10" t="s">
        <v>66</v>
      </c>
      <c r="K55" s="8" t="s">
        <v>767</v>
      </c>
      <c r="L55" s="8" t="s">
        <v>768</v>
      </c>
      <c r="M55" s="7" t="s">
        <v>769</v>
      </c>
      <c r="N55" s="7" t="s">
        <v>770</v>
      </c>
      <c r="O55" s="7" t="s">
        <v>71</v>
      </c>
      <c r="P55" s="8"/>
      <c r="Q55" s="7" t="s">
        <v>73</v>
      </c>
      <c r="R55" s="8"/>
      <c r="S55" s="7" t="s">
        <v>772</v>
      </c>
    </row>
  </sheetData>
  <autoFilter ref="A1:S5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4"/>
    <col collapsed="false" customWidth="true" hidden="false" outlineLevel="0" max="3" min="3" style="0" width="16"/>
    <col collapsed="false" customWidth="true" hidden="false" outlineLevel="0" max="4" min="4" style="0" width="12"/>
    <col collapsed="false" customWidth="true" hidden="false" outlineLevel="0" max="5" min="5" style="0" width="16"/>
    <col collapsed="false" customWidth="true" hidden="false" outlineLevel="0" max="6" min="6" style="0" width="9"/>
    <col collapsed="false" customWidth="true" hidden="false" outlineLevel="0" max="7" min="7" style="0" width="11"/>
    <col collapsed="false" customWidth="true" hidden="false" outlineLevel="0" max="8" min="8" style="0" width="18"/>
    <col collapsed="false" customWidth="true" hidden="false" outlineLevel="0" max="9" min="9" style="0" width="34"/>
    <col collapsed="false" customWidth="true" hidden="false" outlineLevel="0" max="10" min="10" style="0" width="16"/>
    <col collapsed="false" customWidth="true" hidden="false" outlineLevel="0" max="11" min="11" style="0" width="48"/>
    <col collapsed="false" customWidth="true" hidden="false" outlineLevel="0" max="12" min="12" style="0" width="46"/>
    <col collapsed="false" customWidth="true" hidden="false" outlineLevel="0" max="13" min="13" style="0" width="28"/>
    <col collapsed="false" customWidth="true" hidden="false" outlineLevel="0" max="14" min="14" style="0" width="16"/>
    <col collapsed="false" customWidth="true" hidden="false" outlineLevel="0" max="15" min="15" style="0" width="12"/>
    <col collapsed="false" customWidth="true" hidden="false" outlineLevel="0" max="16" min="16" style="0" width="50"/>
    <col collapsed="false" customWidth="true" hidden="false" outlineLevel="0" max="17" min="17" style="0" width="10"/>
    <col collapsed="false" customWidth="true" hidden="false" outlineLevel="0" max="18" min="18" style="0" width="56"/>
    <col collapsed="false" customWidth="true" hidden="false" outlineLevel="0" max="19" min="19" style="0" width="9"/>
  </cols>
  <sheetData>
    <row r="1" customFormat="false" ht="30" hidden="false" customHeight="true" outlineLevel="0" collapsed="false">
      <c r="A1" s="6" t="s">
        <v>39</v>
      </c>
      <c r="B1" s="6" t="s">
        <v>40</v>
      </c>
      <c r="C1" s="6" t="s">
        <v>41</v>
      </c>
      <c r="D1" s="6" t="s">
        <v>42</v>
      </c>
      <c r="E1" s="6" t="s">
        <v>43</v>
      </c>
      <c r="F1" s="6" t="s">
        <v>44</v>
      </c>
      <c r="G1" s="6" t="s">
        <v>45</v>
      </c>
      <c r="H1" s="6" t="s">
        <v>46</v>
      </c>
      <c r="I1" s="6" t="s">
        <v>47</v>
      </c>
      <c r="J1" s="6" t="s">
        <v>48</v>
      </c>
      <c r="K1" s="6" t="s">
        <v>49</v>
      </c>
      <c r="L1" s="6" t="s">
        <v>50</v>
      </c>
      <c r="M1" s="6" t="s">
        <v>51</v>
      </c>
      <c r="N1" s="6" t="s">
        <v>52</v>
      </c>
      <c r="O1" s="6" t="s">
        <v>53</v>
      </c>
      <c r="P1" s="6" t="s">
        <v>54</v>
      </c>
      <c r="Q1" s="6" t="s">
        <v>55</v>
      </c>
      <c r="R1" s="6" t="s">
        <v>56</v>
      </c>
      <c r="S1" s="6" t="s">
        <v>57</v>
      </c>
    </row>
    <row r="2" customFormat="false" ht="35.05" hidden="false" customHeight="false" outlineLevel="0" collapsed="false">
      <c r="A2" s="7" t="s">
        <v>857</v>
      </c>
      <c r="B2" s="8" t="s">
        <v>858</v>
      </c>
      <c r="C2" s="7" t="s">
        <v>789</v>
      </c>
      <c r="D2" s="9" t="n">
        <v>18</v>
      </c>
      <c r="E2" s="7" t="s">
        <v>859</v>
      </c>
      <c r="F2" s="7" t="s">
        <v>341</v>
      </c>
      <c r="G2" s="7" t="s">
        <v>63</v>
      </c>
      <c r="H2" s="7" t="s">
        <v>64</v>
      </c>
      <c r="I2" s="8" t="s">
        <v>860</v>
      </c>
      <c r="J2" s="10" t="s">
        <v>66</v>
      </c>
      <c r="K2" s="8" t="s">
        <v>95</v>
      </c>
      <c r="L2" s="8" t="s">
        <v>96</v>
      </c>
      <c r="M2" s="7" t="s">
        <v>97</v>
      </c>
      <c r="N2" s="7" t="s">
        <v>98</v>
      </c>
      <c r="O2" s="7" t="s">
        <v>71</v>
      </c>
      <c r="P2" s="8"/>
      <c r="Q2" s="7" t="s">
        <v>73</v>
      </c>
      <c r="R2" s="8" t="s">
        <v>861</v>
      </c>
      <c r="S2" s="7" t="s">
        <v>102</v>
      </c>
    </row>
    <row r="3" customFormat="false" ht="35.05" hidden="false" customHeight="false" outlineLevel="0" collapsed="false">
      <c r="A3" s="7" t="s">
        <v>862</v>
      </c>
      <c r="B3" s="8" t="s">
        <v>863</v>
      </c>
      <c r="C3" s="7" t="s">
        <v>789</v>
      </c>
      <c r="D3" s="9" t="n">
        <v>9</v>
      </c>
      <c r="E3" s="7" t="s">
        <v>859</v>
      </c>
      <c r="F3" s="7" t="s">
        <v>341</v>
      </c>
      <c r="G3" s="7" t="s">
        <v>63</v>
      </c>
      <c r="H3" s="7" t="s">
        <v>64</v>
      </c>
      <c r="I3" s="8" t="s">
        <v>294</v>
      </c>
      <c r="J3" s="10" t="s">
        <v>66</v>
      </c>
      <c r="K3" s="8" t="s">
        <v>95</v>
      </c>
      <c r="L3" s="8" t="s">
        <v>96</v>
      </c>
      <c r="M3" s="7" t="s">
        <v>97</v>
      </c>
      <c r="N3" s="7" t="s">
        <v>98</v>
      </c>
      <c r="O3" s="7" t="s">
        <v>71</v>
      </c>
      <c r="P3" s="8"/>
      <c r="Q3" s="7" t="s">
        <v>73</v>
      </c>
      <c r="R3" s="8"/>
      <c r="S3" s="7" t="s">
        <v>102</v>
      </c>
    </row>
    <row r="4" customFormat="false" ht="46.25" hidden="false" customHeight="false" outlineLevel="0" collapsed="false">
      <c r="A4" s="7" t="s">
        <v>864</v>
      </c>
      <c r="B4" s="8" t="s">
        <v>865</v>
      </c>
      <c r="C4" s="7" t="s">
        <v>866</v>
      </c>
      <c r="D4" s="9" t="n">
        <v>1350</v>
      </c>
      <c r="E4" s="7" t="s">
        <v>497</v>
      </c>
      <c r="F4" s="7" t="s">
        <v>341</v>
      </c>
      <c r="G4" s="7" t="s">
        <v>63</v>
      </c>
      <c r="H4" s="7" t="s">
        <v>64</v>
      </c>
      <c r="I4" s="8" t="s">
        <v>294</v>
      </c>
      <c r="J4" s="10" t="s">
        <v>66</v>
      </c>
      <c r="K4" s="8" t="s">
        <v>132</v>
      </c>
      <c r="L4" s="8" t="s">
        <v>133</v>
      </c>
      <c r="M4" s="7" t="s">
        <v>134</v>
      </c>
      <c r="N4" s="7" t="s">
        <v>135</v>
      </c>
      <c r="O4" s="7" t="s">
        <v>71</v>
      </c>
      <c r="P4" s="8" t="s">
        <v>867</v>
      </c>
      <c r="Q4" s="7" t="s">
        <v>73</v>
      </c>
      <c r="R4" s="8" t="s">
        <v>868</v>
      </c>
      <c r="S4" s="7" t="s">
        <v>138</v>
      </c>
    </row>
    <row r="5" customFormat="false" ht="46.25" hidden="false" customHeight="false" outlineLevel="0" collapsed="false">
      <c r="A5" s="7" t="s">
        <v>869</v>
      </c>
      <c r="B5" s="8" t="s">
        <v>870</v>
      </c>
      <c r="C5" s="7" t="s">
        <v>871</v>
      </c>
      <c r="D5" s="9" t="n">
        <v>1500</v>
      </c>
      <c r="E5" s="7" t="s">
        <v>497</v>
      </c>
      <c r="F5" s="7" t="s">
        <v>341</v>
      </c>
      <c r="G5" s="7" t="s">
        <v>63</v>
      </c>
      <c r="H5" s="7" t="s">
        <v>64</v>
      </c>
      <c r="I5" s="8" t="s">
        <v>294</v>
      </c>
      <c r="J5" s="10" t="s">
        <v>66</v>
      </c>
      <c r="K5" s="8" t="s">
        <v>132</v>
      </c>
      <c r="L5" s="8" t="s">
        <v>133</v>
      </c>
      <c r="M5" s="7" t="s">
        <v>134</v>
      </c>
      <c r="N5" s="7" t="s">
        <v>135</v>
      </c>
      <c r="O5" s="7" t="s">
        <v>71</v>
      </c>
      <c r="P5" s="8"/>
      <c r="Q5" s="7" t="s">
        <v>73</v>
      </c>
      <c r="R5" s="8" t="s">
        <v>872</v>
      </c>
      <c r="S5" s="7" t="s">
        <v>138</v>
      </c>
    </row>
    <row r="6" customFormat="false" ht="35.05" hidden="false" customHeight="false" outlineLevel="0" collapsed="false">
      <c r="A6" s="7" t="s">
        <v>873</v>
      </c>
      <c r="B6" s="8" t="s">
        <v>874</v>
      </c>
      <c r="C6" s="7" t="s">
        <v>89</v>
      </c>
      <c r="D6" s="9" t="n">
        <v>5</v>
      </c>
      <c r="E6" s="7" t="s">
        <v>794</v>
      </c>
      <c r="F6" s="7" t="s">
        <v>341</v>
      </c>
      <c r="G6" s="7" t="s">
        <v>63</v>
      </c>
      <c r="H6" s="7" t="s">
        <v>64</v>
      </c>
      <c r="I6" s="8" t="s">
        <v>294</v>
      </c>
      <c r="J6" s="11" t="s">
        <v>94</v>
      </c>
      <c r="K6" s="8" t="s">
        <v>95</v>
      </c>
      <c r="L6" s="8" t="s">
        <v>96</v>
      </c>
      <c r="M6" s="7" t="s">
        <v>97</v>
      </c>
      <c r="N6" s="7" t="s">
        <v>98</v>
      </c>
      <c r="O6" s="7" t="s">
        <v>71</v>
      </c>
      <c r="P6" s="8" t="s">
        <v>875</v>
      </c>
      <c r="Q6" s="7" t="s">
        <v>100</v>
      </c>
      <c r="R6" s="8" t="s">
        <v>876</v>
      </c>
      <c r="S6" s="7" t="s">
        <v>102</v>
      </c>
    </row>
    <row r="7" customFormat="false" ht="23.85" hidden="false" customHeight="false" outlineLevel="0" collapsed="false">
      <c r="A7" s="7" t="s">
        <v>877</v>
      </c>
      <c r="B7" s="8" t="s">
        <v>878</v>
      </c>
      <c r="C7" s="7" t="s">
        <v>105</v>
      </c>
      <c r="D7" s="9" t="n">
        <v>40</v>
      </c>
      <c r="E7" s="7" t="s">
        <v>127</v>
      </c>
      <c r="F7" s="7" t="s">
        <v>341</v>
      </c>
      <c r="G7" s="7" t="s">
        <v>63</v>
      </c>
      <c r="H7" s="7" t="s">
        <v>64</v>
      </c>
      <c r="I7" s="8" t="s">
        <v>294</v>
      </c>
      <c r="J7" s="10" t="s">
        <v>66</v>
      </c>
      <c r="K7" s="8" t="s">
        <v>106</v>
      </c>
      <c r="L7" s="8" t="s">
        <v>107</v>
      </c>
      <c r="M7" s="7" t="s">
        <v>108</v>
      </c>
      <c r="N7" s="7" t="s">
        <v>109</v>
      </c>
      <c r="O7" s="7" t="s">
        <v>71</v>
      </c>
      <c r="P7" s="8" t="s">
        <v>879</v>
      </c>
      <c r="Q7" s="7" t="s">
        <v>100</v>
      </c>
      <c r="R7" s="8" t="s">
        <v>880</v>
      </c>
      <c r="S7" s="7" t="s">
        <v>111</v>
      </c>
    </row>
    <row r="8" customFormat="false" ht="23.85" hidden="false" customHeight="false" outlineLevel="0" collapsed="false">
      <c r="A8" s="7" t="s">
        <v>881</v>
      </c>
      <c r="B8" s="8" t="s">
        <v>882</v>
      </c>
      <c r="C8" s="7" t="s">
        <v>105</v>
      </c>
      <c r="D8" s="9" t="n">
        <v>2.5</v>
      </c>
      <c r="E8" s="7" t="s">
        <v>883</v>
      </c>
      <c r="F8" s="7" t="s">
        <v>341</v>
      </c>
      <c r="G8" s="7" t="s">
        <v>63</v>
      </c>
      <c r="H8" s="7" t="s">
        <v>64</v>
      </c>
      <c r="I8" s="8" t="s">
        <v>884</v>
      </c>
      <c r="J8" s="10" t="s">
        <v>66</v>
      </c>
      <c r="K8" s="8" t="s">
        <v>106</v>
      </c>
      <c r="L8" s="8" t="s">
        <v>107</v>
      </c>
      <c r="M8" s="7" t="s">
        <v>108</v>
      </c>
      <c r="N8" s="7" t="s">
        <v>109</v>
      </c>
      <c r="O8" s="7" t="s">
        <v>71</v>
      </c>
      <c r="P8" s="8"/>
      <c r="Q8" s="7" t="s">
        <v>100</v>
      </c>
      <c r="R8" s="8"/>
      <c r="S8" s="7" t="s">
        <v>111</v>
      </c>
    </row>
    <row r="9" customFormat="false" ht="23.85" hidden="false" customHeight="false" outlineLevel="0" collapsed="false">
      <c r="A9" s="7" t="s">
        <v>885</v>
      </c>
      <c r="B9" s="8" t="s">
        <v>886</v>
      </c>
      <c r="C9" s="7" t="s">
        <v>105</v>
      </c>
      <c r="D9" s="9" t="n">
        <v>10</v>
      </c>
      <c r="E9" s="7" t="s">
        <v>127</v>
      </c>
      <c r="F9" s="7" t="s">
        <v>341</v>
      </c>
      <c r="G9" s="7" t="s">
        <v>63</v>
      </c>
      <c r="H9" s="7" t="s">
        <v>64</v>
      </c>
      <c r="I9" s="8" t="s">
        <v>294</v>
      </c>
      <c r="J9" s="10" t="s">
        <v>66</v>
      </c>
      <c r="K9" s="8" t="s">
        <v>106</v>
      </c>
      <c r="L9" s="8" t="s">
        <v>107</v>
      </c>
      <c r="M9" s="7" t="s">
        <v>108</v>
      </c>
      <c r="N9" s="7" t="s">
        <v>109</v>
      </c>
      <c r="O9" s="7" t="s">
        <v>71</v>
      </c>
      <c r="P9" s="8"/>
      <c r="Q9" s="7" t="s">
        <v>100</v>
      </c>
      <c r="R9" s="8"/>
      <c r="S9" s="7" t="s">
        <v>111</v>
      </c>
    </row>
    <row r="10" customFormat="false" ht="23.85" hidden="false" customHeight="false" outlineLevel="0" collapsed="false">
      <c r="A10" s="7" t="s">
        <v>887</v>
      </c>
      <c r="B10" s="8" t="s">
        <v>888</v>
      </c>
      <c r="C10" s="7" t="s">
        <v>889</v>
      </c>
      <c r="D10" s="9" t="n">
        <v>20</v>
      </c>
      <c r="E10" s="7" t="s">
        <v>859</v>
      </c>
      <c r="F10" s="7" t="s">
        <v>341</v>
      </c>
      <c r="G10" s="7" t="s">
        <v>63</v>
      </c>
      <c r="H10" s="7" t="s">
        <v>64</v>
      </c>
      <c r="I10" s="8" t="s">
        <v>890</v>
      </c>
      <c r="J10" s="12" t="s">
        <v>146</v>
      </c>
      <c r="K10" s="8" t="s">
        <v>147</v>
      </c>
      <c r="L10" s="8" t="s">
        <v>148</v>
      </c>
      <c r="M10" s="7" t="s">
        <v>149</v>
      </c>
      <c r="N10" s="7" t="s">
        <v>150</v>
      </c>
      <c r="O10" s="7" t="s">
        <v>71</v>
      </c>
      <c r="P10" s="8" t="s">
        <v>891</v>
      </c>
      <c r="Q10" s="7" t="s">
        <v>100</v>
      </c>
      <c r="R10" s="8" t="s">
        <v>892</v>
      </c>
      <c r="S10" s="7" t="s">
        <v>153</v>
      </c>
    </row>
    <row r="11" customFormat="false" ht="23.85" hidden="false" customHeight="false" outlineLevel="0" collapsed="false">
      <c r="A11" s="7" t="s">
        <v>893</v>
      </c>
      <c r="B11" s="8" t="s">
        <v>894</v>
      </c>
      <c r="C11" s="7" t="s">
        <v>889</v>
      </c>
      <c r="D11" s="9" t="n">
        <v>1300</v>
      </c>
      <c r="E11" s="7" t="s">
        <v>497</v>
      </c>
      <c r="F11" s="7" t="s">
        <v>341</v>
      </c>
      <c r="G11" s="7" t="s">
        <v>63</v>
      </c>
      <c r="H11" s="7" t="s">
        <v>64</v>
      </c>
      <c r="I11" s="8" t="s">
        <v>294</v>
      </c>
      <c r="J11" s="12" t="s">
        <v>146</v>
      </c>
      <c r="K11" s="8" t="s">
        <v>147</v>
      </c>
      <c r="L11" s="8" t="s">
        <v>148</v>
      </c>
      <c r="M11" s="7" t="s">
        <v>149</v>
      </c>
      <c r="N11" s="7" t="s">
        <v>150</v>
      </c>
      <c r="O11" s="7" t="s">
        <v>71</v>
      </c>
      <c r="P11" s="8" t="s">
        <v>895</v>
      </c>
      <c r="Q11" s="7" t="s">
        <v>100</v>
      </c>
      <c r="R11" s="8" t="s">
        <v>896</v>
      </c>
      <c r="S11" s="7" t="s">
        <v>153</v>
      </c>
    </row>
    <row r="12" customFormat="false" ht="23.85" hidden="false" customHeight="false" outlineLevel="0" collapsed="false">
      <c r="A12" s="7" t="s">
        <v>897</v>
      </c>
      <c r="B12" s="8" t="s">
        <v>898</v>
      </c>
      <c r="C12" s="7" t="s">
        <v>167</v>
      </c>
      <c r="D12" s="9" t="n">
        <v>15000</v>
      </c>
      <c r="E12" s="7" t="s">
        <v>899</v>
      </c>
      <c r="F12" s="7" t="s">
        <v>341</v>
      </c>
      <c r="G12" s="7" t="s">
        <v>63</v>
      </c>
      <c r="H12" s="7" t="s">
        <v>64</v>
      </c>
      <c r="I12" s="8" t="s">
        <v>294</v>
      </c>
      <c r="J12" s="10" t="s">
        <v>66</v>
      </c>
      <c r="K12" s="8" t="s">
        <v>171</v>
      </c>
      <c r="L12" s="8" t="s">
        <v>172</v>
      </c>
      <c r="M12" s="7" t="s">
        <v>173</v>
      </c>
      <c r="N12" s="7" t="s">
        <v>174</v>
      </c>
      <c r="O12" s="7" t="s">
        <v>71</v>
      </c>
      <c r="P12" s="8" t="s">
        <v>900</v>
      </c>
      <c r="Q12" s="7" t="s">
        <v>73</v>
      </c>
      <c r="R12" s="8" t="s">
        <v>901</v>
      </c>
      <c r="S12" s="7" t="s">
        <v>177</v>
      </c>
    </row>
    <row r="13" customFormat="false" ht="23.85" hidden="false" customHeight="false" outlineLevel="0" collapsed="false">
      <c r="A13" s="7" t="s">
        <v>902</v>
      </c>
      <c r="B13" s="8" t="s">
        <v>903</v>
      </c>
      <c r="C13" s="7" t="s">
        <v>167</v>
      </c>
      <c r="D13" s="9" t="n">
        <v>50</v>
      </c>
      <c r="E13" s="7" t="s">
        <v>62</v>
      </c>
      <c r="F13" s="7" t="s">
        <v>62</v>
      </c>
      <c r="G13" s="7" t="s">
        <v>63</v>
      </c>
      <c r="H13" s="7" t="s">
        <v>64</v>
      </c>
      <c r="I13" s="8" t="s">
        <v>294</v>
      </c>
      <c r="J13" s="10" t="s">
        <v>66</v>
      </c>
      <c r="K13" s="8" t="s">
        <v>171</v>
      </c>
      <c r="L13" s="8" t="s">
        <v>172</v>
      </c>
      <c r="M13" s="7" t="s">
        <v>173</v>
      </c>
      <c r="N13" s="7" t="s">
        <v>174</v>
      </c>
      <c r="O13" s="7" t="s">
        <v>71</v>
      </c>
      <c r="P13" s="8"/>
      <c r="Q13" s="7" t="s">
        <v>73</v>
      </c>
      <c r="R13" s="8" t="s">
        <v>904</v>
      </c>
      <c r="S13" s="7" t="s">
        <v>177</v>
      </c>
    </row>
    <row r="14" customFormat="false" ht="23.85" hidden="false" customHeight="false" outlineLevel="0" collapsed="false">
      <c r="A14" s="7" t="s">
        <v>905</v>
      </c>
      <c r="B14" s="8" t="s">
        <v>906</v>
      </c>
      <c r="C14" s="7" t="s">
        <v>167</v>
      </c>
      <c r="D14" s="9" t="n">
        <v>75</v>
      </c>
      <c r="E14" s="7" t="s">
        <v>62</v>
      </c>
      <c r="F14" s="7" t="s">
        <v>62</v>
      </c>
      <c r="G14" s="7" t="s">
        <v>63</v>
      </c>
      <c r="H14" s="7" t="s">
        <v>418</v>
      </c>
      <c r="I14" s="8" t="s">
        <v>907</v>
      </c>
      <c r="J14" s="10" t="s">
        <v>66</v>
      </c>
      <c r="K14" s="8" t="s">
        <v>171</v>
      </c>
      <c r="L14" s="8" t="s">
        <v>172</v>
      </c>
      <c r="M14" s="7" t="s">
        <v>173</v>
      </c>
      <c r="N14" s="7" t="s">
        <v>174</v>
      </c>
      <c r="O14" s="7" t="s">
        <v>71</v>
      </c>
      <c r="P14" s="8"/>
      <c r="Q14" s="7" t="s">
        <v>73</v>
      </c>
      <c r="R14" s="8"/>
      <c r="S14" s="7" t="s">
        <v>177</v>
      </c>
    </row>
    <row r="15" customFormat="false" ht="23.85" hidden="false" customHeight="false" outlineLevel="0" collapsed="false">
      <c r="A15" s="7" t="s">
        <v>908</v>
      </c>
      <c r="B15" s="8" t="s">
        <v>909</v>
      </c>
      <c r="C15" s="7" t="s">
        <v>167</v>
      </c>
      <c r="D15" s="9" t="n">
        <v>65</v>
      </c>
      <c r="E15" s="7" t="s">
        <v>62</v>
      </c>
      <c r="F15" s="7" t="s">
        <v>62</v>
      </c>
      <c r="G15" s="7" t="s">
        <v>63</v>
      </c>
      <c r="H15" s="7" t="s">
        <v>910</v>
      </c>
      <c r="I15" s="8" t="s">
        <v>907</v>
      </c>
      <c r="J15" s="10" t="s">
        <v>66</v>
      </c>
      <c r="K15" s="8" t="s">
        <v>171</v>
      </c>
      <c r="L15" s="8" t="s">
        <v>172</v>
      </c>
      <c r="M15" s="7" t="s">
        <v>173</v>
      </c>
      <c r="N15" s="7" t="s">
        <v>174</v>
      </c>
      <c r="O15" s="7" t="s">
        <v>71</v>
      </c>
      <c r="P15" s="8"/>
      <c r="Q15" s="7" t="s">
        <v>73</v>
      </c>
      <c r="R15" s="8"/>
      <c r="S15" s="7" t="s">
        <v>177</v>
      </c>
    </row>
    <row r="16" customFormat="false" ht="23.85" hidden="false" customHeight="false" outlineLevel="0" collapsed="false">
      <c r="A16" s="7" t="s">
        <v>911</v>
      </c>
      <c r="B16" s="8" t="s">
        <v>912</v>
      </c>
      <c r="C16" s="7" t="s">
        <v>167</v>
      </c>
      <c r="D16" s="9" t="n">
        <v>55</v>
      </c>
      <c r="E16" s="7" t="s">
        <v>62</v>
      </c>
      <c r="F16" s="7" t="s">
        <v>62</v>
      </c>
      <c r="G16" s="7" t="s">
        <v>63</v>
      </c>
      <c r="H16" s="7" t="s">
        <v>415</v>
      </c>
      <c r="I16" s="8" t="s">
        <v>907</v>
      </c>
      <c r="J16" s="10" t="s">
        <v>66</v>
      </c>
      <c r="K16" s="8" t="s">
        <v>171</v>
      </c>
      <c r="L16" s="8" t="s">
        <v>172</v>
      </c>
      <c r="M16" s="7" t="s">
        <v>173</v>
      </c>
      <c r="N16" s="7" t="s">
        <v>174</v>
      </c>
      <c r="O16" s="7" t="s">
        <v>71</v>
      </c>
      <c r="P16" s="8"/>
      <c r="Q16" s="7" t="s">
        <v>73</v>
      </c>
      <c r="R16" s="8"/>
      <c r="S16" s="7" t="s">
        <v>177</v>
      </c>
    </row>
    <row r="17" customFormat="false" ht="23.85" hidden="false" customHeight="false" outlineLevel="0" collapsed="false">
      <c r="A17" s="7" t="s">
        <v>913</v>
      </c>
      <c r="B17" s="8" t="s">
        <v>914</v>
      </c>
      <c r="C17" s="7" t="s">
        <v>167</v>
      </c>
      <c r="D17" s="9" t="n">
        <v>40</v>
      </c>
      <c r="E17" s="7" t="s">
        <v>127</v>
      </c>
      <c r="F17" s="7" t="s">
        <v>341</v>
      </c>
      <c r="G17" s="7" t="s">
        <v>63</v>
      </c>
      <c r="H17" s="7" t="s">
        <v>64</v>
      </c>
      <c r="I17" s="8" t="s">
        <v>294</v>
      </c>
      <c r="J17" s="10" t="s">
        <v>66</v>
      </c>
      <c r="K17" s="8" t="s">
        <v>171</v>
      </c>
      <c r="L17" s="8" t="s">
        <v>172</v>
      </c>
      <c r="M17" s="7" t="s">
        <v>173</v>
      </c>
      <c r="N17" s="7" t="s">
        <v>174</v>
      </c>
      <c r="O17" s="7" t="s">
        <v>71</v>
      </c>
      <c r="P17" s="8" t="s">
        <v>915</v>
      </c>
      <c r="Q17" s="7" t="s">
        <v>100</v>
      </c>
      <c r="R17" s="8"/>
      <c r="S17" s="7" t="s">
        <v>177</v>
      </c>
    </row>
    <row r="18" customFormat="false" ht="35.05" hidden="false" customHeight="false" outlineLevel="0" collapsed="false">
      <c r="A18" s="7" t="s">
        <v>916</v>
      </c>
      <c r="B18" s="8" t="s">
        <v>917</v>
      </c>
      <c r="C18" s="7" t="s">
        <v>918</v>
      </c>
      <c r="D18" s="9" t="n">
        <v>24</v>
      </c>
      <c r="E18" s="7" t="s">
        <v>859</v>
      </c>
      <c r="F18" s="7" t="s">
        <v>341</v>
      </c>
      <c r="G18" s="7" t="s">
        <v>63</v>
      </c>
      <c r="H18" s="7" t="s">
        <v>64</v>
      </c>
      <c r="I18" s="8" t="s">
        <v>919</v>
      </c>
      <c r="J18" s="10" t="s">
        <v>66</v>
      </c>
      <c r="K18" s="8" t="s">
        <v>208</v>
      </c>
      <c r="L18" s="8" t="s">
        <v>209</v>
      </c>
      <c r="M18" s="7" t="s">
        <v>210</v>
      </c>
      <c r="N18" s="7" t="s">
        <v>211</v>
      </c>
      <c r="O18" s="7" t="s">
        <v>71</v>
      </c>
      <c r="P18" s="8"/>
      <c r="Q18" s="7" t="s">
        <v>73</v>
      </c>
      <c r="R18" s="8" t="s">
        <v>920</v>
      </c>
      <c r="S18" s="7" t="s">
        <v>214</v>
      </c>
    </row>
    <row r="19" customFormat="false" ht="35.05" hidden="false" customHeight="false" outlineLevel="0" collapsed="false">
      <c r="A19" s="7" t="s">
        <v>921</v>
      </c>
      <c r="B19" s="8" t="s">
        <v>863</v>
      </c>
      <c r="C19" s="7" t="s">
        <v>918</v>
      </c>
      <c r="D19" s="9" t="n">
        <v>10</v>
      </c>
      <c r="E19" s="7" t="s">
        <v>859</v>
      </c>
      <c r="F19" s="7" t="s">
        <v>341</v>
      </c>
      <c r="G19" s="7" t="s">
        <v>63</v>
      </c>
      <c r="H19" s="7" t="s">
        <v>64</v>
      </c>
      <c r="I19" s="8" t="s">
        <v>922</v>
      </c>
      <c r="J19" s="10" t="s">
        <v>66</v>
      </c>
      <c r="K19" s="8" t="s">
        <v>208</v>
      </c>
      <c r="L19" s="8" t="s">
        <v>209</v>
      </c>
      <c r="M19" s="7" t="s">
        <v>210</v>
      </c>
      <c r="N19" s="7" t="s">
        <v>211</v>
      </c>
      <c r="O19" s="7" t="s">
        <v>71</v>
      </c>
      <c r="P19" s="8"/>
      <c r="Q19" s="7" t="s">
        <v>73</v>
      </c>
      <c r="R19" s="8"/>
      <c r="S19" s="7" t="s">
        <v>214</v>
      </c>
    </row>
    <row r="20" customFormat="false" ht="23.85" hidden="false" customHeight="false" outlineLevel="0" collapsed="false">
      <c r="A20" s="7" t="s">
        <v>923</v>
      </c>
      <c r="B20" s="8" t="s">
        <v>924</v>
      </c>
      <c r="C20" s="7" t="s">
        <v>925</v>
      </c>
      <c r="D20" s="9" t="n">
        <v>20000</v>
      </c>
      <c r="E20" s="7" t="s">
        <v>899</v>
      </c>
      <c r="F20" s="7" t="s">
        <v>341</v>
      </c>
      <c r="G20" s="7" t="s">
        <v>63</v>
      </c>
      <c r="H20" s="7" t="s">
        <v>64</v>
      </c>
      <c r="I20" s="8" t="s">
        <v>294</v>
      </c>
      <c r="J20" s="10" t="s">
        <v>66</v>
      </c>
      <c r="K20" s="8" t="s">
        <v>401</v>
      </c>
      <c r="L20" s="8" t="s">
        <v>402</v>
      </c>
      <c r="M20" s="7" t="s">
        <v>403</v>
      </c>
      <c r="N20" s="7" t="s">
        <v>404</v>
      </c>
      <c r="O20" s="7" t="s">
        <v>71</v>
      </c>
      <c r="P20" s="8" t="s">
        <v>926</v>
      </c>
      <c r="Q20" s="7" t="s">
        <v>100</v>
      </c>
      <c r="R20" s="8" t="s">
        <v>927</v>
      </c>
      <c r="S20" s="7" t="s">
        <v>406</v>
      </c>
    </row>
    <row r="21" customFormat="false" ht="23.85" hidden="false" customHeight="false" outlineLevel="0" collapsed="false">
      <c r="A21" s="7" t="s">
        <v>928</v>
      </c>
      <c r="B21" s="8" t="s">
        <v>903</v>
      </c>
      <c r="C21" s="7" t="s">
        <v>220</v>
      </c>
      <c r="D21" s="9" t="n">
        <v>45</v>
      </c>
      <c r="E21" s="7" t="s">
        <v>62</v>
      </c>
      <c r="F21" s="7" t="s">
        <v>62</v>
      </c>
      <c r="G21" s="7" t="s">
        <v>63</v>
      </c>
      <c r="H21" s="7" t="s">
        <v>64</v>
      </c>
      <c r="I21" s="8" t="s">
        <v>294</v>
      </c>
      <c r="J21" s="10" t="s">
        <v>66</v>
      </c>
      <c r="K21" s="8" t="s">
        <v>221</v>
      </c>
      <c r="L21" s="8" t="s">
        <v>222</v>
      </c>
      <c r="M21" s="7" t="s">
        <v>173</v>
      </c>
      <c r="N21" s="7" t="s">
        <v>223</v>
      </c>
      <c r="O21" s="7" t="s">
        <v>71</v>
      </c>
      <c r="P21" s="8" t="s">
        <v>929</v>
      </c>
      <c r="Q21" s="7" t="s">
        <v>100</v>
      </c>
      <c r="R21" s="8" t="s">
        <v>930</v>
      </c>
      <c r="S21" s="7" t="s">
        <v>225</v>
      </c>
    </row>
    <row r="22" customFormat="false" ht="23.85" hidden="false" customHeight="false" outlineLevel="0" collapsed="false">
      <c r="A22" s="7" t="s">
        <v>931</v>
      </c>
      <c r="B22" s="8" t="s">
        <v>932</v>
      </c>
      <c r="C22" s="7" t="s">
        <v>220</v>
      </c>
      <c r="D22" s="9" t="n">
        <v>7</v>
      </c>
      <c r="E22" s="7" t="s">
        <v>859</v>
      </c>
      <c r="F22" s="7" t="s">
        <v>341</v>
      </c>
      <c r="G22" s="7" t="s">
        <v>63</v>
      </c>
      <c r="H22" s="7" t="s">
        <v>64</v>
      </c>
      <c r="I22" s="8" t="s">
        <v>933</v>
      </c>
      <c r="J22" s="10" t="s">
        <v>66</v>
      </c>
      <c r="K22" s="8" t="s">
        <v>401</v>
      </c>
      <c r="L22" s="8" t="s">
        <v>402</v>
      </c>
      <c r="M22" s="7" t="s">
        <v>403</v>
      </c>
      <c r="N22" s="7" t="s">
        <v>404</v>
      </c>
      <c r="O22" s="7" t="s">
        <v>71</v>
      </c>
      <c r="P22" s="8"/>
      <c r="Q22" s="7" t="s">
        <v>73</v>
      </c>
      <c r="R22" s="8"/>
      <c r="S22" s="7" t="s">
        <v>406</v>
      </c>
    </row>
    <row r="23" customFormat="false" ht="23.85" hidden="false" customHeight="false" outlineLevel="0" collapsed="false">
      <c r="A23" s="7" t="s">
        <v>934</v>
      </c>
      <c r="B23" s="8" t="s">
        <v>935</v>
      </c>
      <c r="C23" s="7" t="s">
        <v>936</v>
      </c>
      <c r="D23" s="9" t="n">
        <v>1000</v>
      </c>
      <c r="E23" s="7" t="s">
        <v>497</v>
      </c>
      <c r="F23" s="7" t="s">
        <v>341</v>
      </c>
      <c r="G23" s="7" t="s">
        <v>63</v>
      </c>
      <c r="H23" s="7" t="s">
        <v>64</v>
      </c>
      <c r="I23" s="8" t="s">
        <v>294</v>
      </c>
      <c r="J23" s="10" t="s">
        <v>66</v>
      </c>
      <c r="K23" s="8" t="s">
        <v>937</v>
      </c>
      <c r="L23" s="8" t="s">
        <v>938</v>
      </c>
      <c r="M23" s="7" t="s">
        <v>108</v>
      </c>
      <c r="N23" s="7" t="s">
        <v>939</v>
      </c>
      <c r="O23" s="7" t="s">
        <v>71</v>
      </c>
      <c r="P23" s="8" t="s">
        <v>940</v>
      </c>
      <c r="Q23" s="7" t="s">
        <v>73</v>
      </c>
      <c r="R23" s="8" t="s">
        <v>740</v>
      </c>
      <c r="S23" s="7" t="s">
        <v>941</v>
      </c>
    </row>
    <row r="24" customFormat="false" ht="23.85" hidden="false" customHeight="false" outlineLevel="0" collapsed="false">
      <c r="A24" s="7" t="s">
        <v>942</v>
      </c>
      <c r="B24" s="8" t="s">
        <v>943</v>
      </c>
      <c r="C24" s="7" t="s">
        <v>944</v>
      </c>
      <c r="D24" s="9" t="n">
        <v>1321</v>
      </c>
      <c r="E24" s="7" t="s">
        <v>945</v>
      </c>
      <c r="F24" s="7" t="s">
        <v>341</v>
      </c>
      <c r="G24" s="7" t="s">
        <v>63</v>
      </c>
      <c r="H24" s="7" t="s">
        <v>946</v>
      </c>
      <c r="I24" s="8" t="s">
        <v>947</v>
      </c>
      <c r="J24" s="10" t="s">
        <v>66</v>
      </c>
      <c r="K24" s="8" t="s">
        <v>317</v>
      </c>
      <c r="L24" s="8" t="s">
        <v>318</v>
      </c>
      <c r="M24" s="7" t="s">
        <v>319</v>
      </c>
      <c r="N24" s="7" t="s">
        <v>320</v>
      </c>
      <c r="O24" s="7" t="s">
        <v>71</v>
      </c>
      <c r="P24" s="8"/>
      <c r="Q24" s="7" t="s">
        <v>73</v>
      </c>
      <c r="R24" s="8"/>
      <c r="S24" s="7" t="s">
        <v>323</v>
      </c>
    </row>
    <row r="25" customFormat="false" ht="35.05" hidden="false" customHeight="false" outlineLevel="0" collapsed="false">
      <c r="A25" s="7" t="s">
        <v>948</v>
      </c>
      <c r="B25" s="8" t="s">
        <v>949</v>
      </c>
      <c r="C25" s="7" t="s">
        <v>950</v>
      </c>
      <c r="D25" s="9" t="n">
        <v>380000</v>
      </c>
      <c r="E25" s="7" t="s">
        <v>951</v>
      </c>
      <c r="F25" s="7" t="s">
        <v>341</v>
      </c>
      <c r="G25" s="7" t="s">
        <v>63</v>
      </c>
      <c r="H25" s="7" t="s">
        <v>64</v>
      </c>
      <c r="I25" s="8" t="s">
        <v>952</v>
      </c>
      <c r="J25" s="10" t="s">
        <v>66</v>
      </c>
      <c r="K25" s="8" t="s">
        <v>953</v>
      </c>
      <c r="L25" s="8" t="s">
        <v>954</v>
      </c>
      <c r="M25" s="7" t="s">
        <v>955</v>
      </c>
      <c r="N25" s="7" t="s">
        <v>197</v>
      </c>
      <c r="O25" s="7" t="s">
        <v>71</v>
      </c>
      <c r="P25" s="8"/>
      <c r="Q25" s="7" t="s">
        <v>73</v>
      </c>
      <c r="R25" s="8" t="s">
        <v>956</v>
      </c>
      <c r="S25" s="7" t="s">
        <v>957</v>
      </c>
    </row>
    <row r="26" customFormat="false" ht="35.05" hidden="false" customHeight="false" outlineLevel="0" collapsed="false">
      <c r="A26" s="7" t="s">
        <v>958</v>
      </c>
      <c r="B26" s="8" t="s">
        <v>959</v>
      </c>
      <c r="C26" s="7" t="s">
        <v>960</v>
      </c>
      <c r="D26" s="9" t="n">
        <v>28</v>
      </c>
      <c r="E26" s="7" t="s">
        <v>127</v>
      </c>
      <c r="F26" s="7" t="s">
        <v>341</v>
      </c>
      <c r="G26" s="7" t="s">
        <v>63</v>
      </c>
      <c r="H26" s="7" t="s">
        <v>64</v>
      </c>
      <c r="I26" s="8" t="s">
        <v>294</v>
      </c>
      <c r="J26" s="10" t="s">
        <v>66</v>
      </c>
      <c r="K26" s="8" t="s">
        <v>953</v>
      </c>
      <c r="L26" s="8" t="s">
        <v>954</v>
      </c>
      <c r="M26" s="7" t="s">
        <v>955</v>
      </c>
      <c r="N26" s="7" t="s">
        <v>197</v>
      </c>
      <c r="O26" s="7" t="s">
        <v>71</v>
      </c>
      <c r="P26" s="8"/>
      <c r="Q26" s="7" t="s">
        <v>73</v>
      </c>
      <c r="R26" s="8" t="s">
        <v>961</v>
      </c>
      <c r="S26" s="7" t="s">
        <v>957</v>
      </c>
    </row>
    <row r="27" customFormat="false" ht="35.05" hidden="false" customHeight="false" outlineLevel="0" collapsed="false">
      <c r="A27" s="7" t="s">
        <v>962</v>
      </c>
      <c r="B27" s="8" t="s">
        <v>963</v>
      </c>
      <c r="C27" s="7" t="s">
        <v>960</v>
      </c>
      <c r="D27" s="9" t="n">
        <v>20</v>
      </c>
      <c r="E27" s="7" t="s">
        <v>127</v>
      </c>
      <c r="F27" s="7" t="s">
        <v>341</v>
      </c>
      <c r="G27" s="7" t="s">
        <v>63</v>
      </c>
      <c r="H27" s="7" t="s">
        <v>64</v>
      </c>
      <c r="I27" s="8" t="s">
        <v>294</v>
      </c>
      <c r="J27" s="10" t="s">
        <v>66</v>
      </c>
      <c r="K27" s="8" t="s">
        <v>953</v>
      </c>
      <c r="L27" s="8" t="s">
        <v>954</v>
      </c>
      <c r="M27" s="7" t="s">
        <v>955</v>
      </c>
      <c r="N27" s="7" t="s">
        <v>197</v>
      </c>
      <c r="O27" s="7" t="s">
        <v>71</v>
      </c>
      <c r="P27" s="8"/>
      <c r="Q27" s="7" t="s">
        <v>73</v>
      </c>
      <c r="R27" s="8"/>
      <c r="S27" s="7" t="s">
        <v>957</v>
      </c>
    </row>
    <row r="28" customFormat="false" ht="23.85" hidden="false" customHeight="false" outlineLevel="0" collapsed="false">
      <c r="A28" s="7" t="s">
        <v>964</v>
      </c>
      <c r="B28" s="8" t="s">
        <v>965</v>
      </c>
      <c r="C28" s="7" t="s">
        <v>237</v>
      </c>
      <c r="D28" s="9" t="n">
        <v>290</v>
      </c>
      <c r="E28" s="7" t="s">
        <v>79</v>
      </c>
      <c r="F28" s="7" t="s">
        <v>79</v>
      </c>
      <c r="G28" s="7" t="s">
        <v>63</v>
      </c>
      <c r="H28" s="7" t="s">
        <v>64</v>
      </c>
      <c r="I28" s="8" t="s">
        <v>504</v>
      </c>
      <c r="J28" s="10" t="s">
        <v>66</v>
      </c>
      <c r="K28" s="8" t="s">
        <v>408</v>
      </c>
      <c r="L28" s="8" t="s">
        <v>409</v>
      </c>
      <c r="M28" s="7" t="s">
        <v>403</v>
      </c>
      <c r="N28" s="7" t="s">
        <v>197</v>
      </c>
      <c r="O28" s="7" t="s">
        <v>71</v>
      </c>
      <c r="P28" s="8" t="s">
        <v>966</v>
      </c>
      <c r="Q28" s="7" t="s">
        <v>73</v>
      </c>
      <c r="R28" s="8" t="s">
        <v>967</v>
      </c>
      <c r="S28" s="7" t="s">
        <v>412</v>
      </c>
    </row>
    <row r="29" customFormat="false" ht="35.05" hidden="false" customHeight="false" outlineLevel="0" collapsed="false">
      <c r="A29" s="7" t="s">
        <v>968</v>
      </c>
      <c r="B29" s="8" t="s">
        <v>935</v>
      </c>
      <c r="C29" s="7" t="s">
        <v>969</v>
      </c>
      <c r="D29" s="9" t="n">
        <v>1100</v>
      </c>
      <c r="E29" s="7" t="s">
        <v>497</v>
      </c>
      <c r="F29" s="7" t="s">
        <v>341</v>
      </c>
      <c r="G29" s="7" t="s">
        <v>63</v>
      </c>
      <c r="H29" s="7" t="s">
        <v>64</v>
      </c>
      <c r="I29" s="8" t="s">
        <v>294</v>
      </c>
      <c r="J29" s="10" t="s">
        <v>66</v>
      </c>
      <c r="K29" s="8" t="s">
        <v>435</v>
      </c>
      <c r="L29" s="8" t="s">
        <v>436</v>
      </c>
      <c r="M29" s="7" t="s">
        <v>364</v>
      </c>
      <c r="N29" s="7" t="s">
        <v>437</v>
      </c>
      <c r="O29" s="7" t="s">
        <v>71</v>
      </c>
      <c r="P29" s="8" t="s">
        <v>970</v>
      </c>
      <c r="Q29" s="7" t="s">
        <v>73</v>
      </c>
      <c r="R29" s="8" t="s">
        <v>740</v>
      </c>
      <c r="S29" s="7" t="s">
        <v>440</v>
      </c>
    </row>
    <row r="30" customFormat="false" ht="35.05" hidden="false" customHeight="false" outlineLevel="0" collapsed="false">
      <c r="A30" s="7" t="s">
        <v>971</v>
      </c>
      <c r="B30" s="8" t="s">
        <v>972</v>
      </c>
      <c r="C30" s="7" t="s">
        <v>973</v>
      </c>
      <c r="D30" s="9" t="n">
        <v>44</v>
      </c>
      <c r="E30" s="7" t="s">
        <v>859</v>
      </c>
      <c r="F30" s="7" t="s">
        <v>341</v>
      </c>
      <c r="G30" s="7" t="s">
        <v>63</v>
      </c>
      <c r="H30" s="7" t="s">
        <v>64</v>
      </c>
      <c r="I30" s="8" t="s">
        <v>974</v>
      </c>
      <c r="J30" s="10" t="s">
        <v>66</v>
      </c>
      <c r="K30" s="8" t="s">
        <v>435</v>
      </c>
      <c r="L30" s="8" t="s">
        <v>436</v>
      </c>
      <c r="M30" s="7" t="s">
        <v>364</v>
      </c>
      <c r="N30" s="7" t="s">
        <v>437</v>
      </c>
      <c r="O30" s="7" t="s">
        <v>71</v>
      </c>
      <c r="P30" s="8" t="s">
        <v>975</v>
      </c>
      <c r="Q30" s="7" t="s">
        <v>73</v>
      </c>
      <c r="R30" s="8" t="s">
        <v>976</v>
      </c>
      <c r="S30" s="7" t="s">
        <v>440</v>
      </c>
    </row>
    <row r="31" customFormat="false" ht="23.85" hidden="false" customHeight="false" outlineLevel="0" collapsed="false">
      <c r="A31" s="7" t="s">
        <v>977</v>
      </c>
      <c r="B31" s="8" t="s">
        <v>978</v>
      </c>
      <c r="C31" s="7" t="s">
        <v>979</v>
      </c>
      <c r="D31" s="9" t="n">
        <v>26</v>
      </c>
      <c r="E31" s="7" t="s">
        <v>859</v>
      </c>
      <c r="F31" s="7" t="s">
        <v>341</v>
      </c>
      <c r="G31" s="7" t="s">
        <v>63</v>
      </c>
      <c r="H31" s="7" t="s">
        <v>64</v>
      </c>
      <c r="I31" s="8" t="s">
        <v>294</v>
      </c>
      <c r="J31" s="10" t="s">
        <v>66</v>
      </c>
      <c r="K31" s="8" t="s">
        <v>308</v>
      </c>
      <c r="L31" s="8" t="s">
        <v>309</v>
      </c>
      <c r="M31" s="7" t="s">
        <v>97</v>
      </c>
      <c r="N31" s="7" t="s">
        <v>310</v>
      </c>
      <c r="O31" s="7" t="s">
        <v>71</v>
      </c>
      <c r="P31" s="8" t="s">
        <v>980</v>
      </c>
      <c r="Q31" s="7" t="s">
        <v>100</v>
      </c>
      <c r="R31" s="8" t="s">
        <v>981</v>
      </c>
      <c r="S31" s="7" t="s">
        <v>312</v>
      </c>
    </row>
    <row r="32" customFormat="false" ht="23.85" hidden="false" customHeight="false" outlineLevel="0" collapsed="false">
      <c r="A32" s="7" t="s">
        <v>982</v>
      </c>
      <c r="B32" s="8" t="s">
        <v>983</v>
      </c>
      <c r="C32" s="7" t="s">
        <v>984</v>
      </c>
      <c r="D32" s="9" t="n">
        <v>40</v>
      </c>
      <c r="E32" s="7" t="s">
        <v>859</v>
      </c>
      <c r="F32" s="7" t="s">
        <v>341</v>
      </c>
      <c r="G32" s="7" t="s">
        <v>63</v>
      </c>
      <c r="H32" s="7" t="s">
        <v>64</v>
      </c>
      <c r="I32" s="8" t="s">
        <v>985</v>
      </c>
      <c r="J32" s="12" t="s">
        <v>146</v>
      </c>
      <c r="K32" s="8" t="s">
        <v>272</v>
      </c>
      <c r="L32" s="8" t="s">
        <v>273</v>
      </c>
      <c r="M32" s="7" t="s">
        <v>196</v>
      </c>
      <c r="N32" s="7" t="s">
        <v>274</v>
      </c>
      <c r="O32" s="7" t="s">
        <v>71</v>
      </c>
      <c r="P32" s="8"/>
      <c r="Q32" s="7" t="s">
        <v>199</v>
      </c>
      <c r="R32" s="8" t="s">
        <v>986</v>
      </c>
      <c r="S32" s="7" t="s">
        <v>277</v>
      </c>
    </row>
    <row r="33" customFormat="false" ht="35.05" hidden="false" customHeight="false" outlineLevel="0" collapsed="false">
      <c r="A33" s="7" t="s">
        <v>987</v>
      </c>
      <c r="B33" s="8" t="s">
        <v>988</v>
      </c>
      <c r="C33" s="7" t="s">
        <v>969</v>
      </c>
      <c r="D33" s="9" t="n">
        <v>5000</v>
      </c>
      <c r="E33" s="7" t="s">
        <v>989</v>
      </c>
      <c r="F33" s="7" t="s">
        <v>341</v>
      </c>
      <c r="G33" s="7" t="s">
        <v>63</v>
      </c>
      <c r="H33" s="7" t="s">
        <v>64</v>
      </c>
      <c r="I33" s="8" t="s">
        <v>990</v>
      </c>
      <c r="J33" s="10" t="s">
        <v>66</v>
      </c>
      <c r="K33" s="8" t="s">
        <v>426</v>
      </c>
      <c r="L33" s="8" t="s">
        <v>427</v>
      </c>
      <c r="M33" s="7" t="s">
        <v>428</v>
      </c>
      <c r="N33" s="7" t="s">
        <v>429</v>
      </c>
      <c r="O33" s="7" t="s">
        <v>71</v>
      </c>
      <c r="P33" s="8"/>
      <c r="Q33" s="7" t="s">
        <v>73</v>
      </c>
      <c r="R33" s="8"/>
      <c r="S33" s="7" t="s">
        <v>431</v>
      </c>
    </row>
    <row r="34" customFormat="false" ht="35.05" hidden="false" customHeight="false" outlineLevel="0" collapsed="false">
      <c r="A34" s="7" t="s">
        <v>991</v>
      </c>
      <c r="B34" s="8" t="s">
        <v>992</v>
      </c>
      <c r="C34" s="7" t="s">
        <v>993</v>
      </c>
      <c r="D34" s="9" t="n">
        <v>15000</v>
      </c>
      <c r="E34" s="7" t="s">
        <v>989</v>
      </c>
      <c r="F34" s="7" t="s">
        <v>341</v>
      </c>
      <c r="G34" s="7" t="s">
        <v>63</v>
      </c>
      <c r="H34" s="7" t="s">
        <v>64</v>
      </c>
      <c r="I34" s="8" t="s">
        <v>994</v>
      </c>
      <c r="J34" s="11" t="s">
        <v>94</v>
      </c>
      <c r="K34" s="8" t="s">
        <v>426</v>
      </c>
      <c r="L34" s="8" t="s">
        <v>427</v>
      </c>
      <c r="M34" s="7" t="s">
        <v>428</v>
      </c>
      <c r="N34" s="7" t="s">
        <v>429</v>
      </c>
      <c r="O34" s="7" t="s">
        <v>71</v>
      </c>
      <c r="P34" s="8" t="s">
        <v>995</v>
      </c>
      <c r="Q34" s="7" t="s">
        <v>73</v>
      </c>
      <c r="R34" s="8" t="s">
        <v>366</v>
      </c>
      <c r="S34" s="7" t="s">
        <v>431</v>
      </c>
    </row>
    <row r="35" customFormat="false" ht="35.05" hidden="false" customHeight="false" outlineLevel="0" collapsed="false">
      <c r="A35" s="7" t="s">
        <v>996</v>
      </c>
      <c r="B35" s="8" t="s">
        <v>997</v>
      </c>
      <c r="C35" s="7" t="s">
        <v>969</v>
      </c>
      <c r="D35" s="9" t="n">
        <v>60</v>
      </c>
      <c r="E35" s="7" t="s">
        <v>127</v>
      </c>
      <c r="F35" s="7" t="s">
        <v>341</v>
      </c>
      <c r="G35" s="7" t="s">
        <v>63</v>
      </c>
      <c r="H35" s="7" t="s">
        <v>64</v>
      </c>
      <c r="I35" s="8" t="s">
        <v>998</v>
      </c>
      <c r="J35" s="10" t="s">
        <v>66</v>
      </c>
      <c r="K35" s="8" t="s">
        <v>435</v>
      </c>
      <c r="L35" s="8" t="s">
        <v>436</v>
      </c>
      <c r="M35" s="7" t="s">
        <v>364</v>
      </c>
      <c r="N35" s="7" t="s">
        <v>437</v>
      </c>
      <c r="O35" s="7" t="s">
        <v>71</v>
      </c>
      <c r="P35" s="8" t="s">
        <v>999</v>
      </c>
      <c r="Q35" s="7" t="s">
        <v>73</v>
      </c>
      <c r="R35" s="8"/>
      <c r="S35" s="7" t="s">
        <v>440</v>
      </c>
    </row>
    <row r="36" customFormat="false" ht="23.85" hidden="false" customHeight="false" outlineLevel="0" collapsed="false">
      <c r="A36" s="7" t="s">
        <v>1000</v>
      </c>
      <c r="B36" s="8" t="s">
        <v>1001</v>
      </c>
      <c r="C36" s="7" t="s">
        <v>925</v>
      </c>
      <c r="D36" s="9" t="n">
        <v>70</v>
      </c>
      <c r="E36" s="7" t="s">
        <v>127</v>
      </c>
      <c r="F36" s="7" t="s">
        <v>341</v>
      </c>
      <c r="G36" s="7" t="s">
        <v>63</v>
      </c>
      <c r="H36" s="7" t="s">
        <v>64</v>
      </c>
      <c r="I36" s="8" t="s">
        <v>1002</v>
      </c>
      <c r="J36" s="12" t="s">
        <v>146</v>
      </c>
      <c r="K36" s="8" t="s">
        <v>451</v>
      </c>
      <c r="L36" s="8" t="s">
        <v>452</v>
      </c>
      <c r="M36" s="7" t="s">
        <v>149</v>
      </c>
      <c r="N36" s="7" t="s">
        <v>453</v>
      </c>
      <c r="O36" s="7" t="s">
        <v>71</v>
      </c>
      <c r="P36" s="8" t="s">
        <v>1003</v>
      </c>
      <c r="Q36" s="7" t="s">
        <v>199</v>
      </c>
      <c r="R36" s="8" t="s">
        <v>1004</v>
      </c>
      <c r="S36" s="7" t="s">
        <v>454</v>
      </c>
    </row>
    <row r="37" customFormat="false" ht="23.85" hidden="false" customHeight="false" outlineLevel="0" collapsed="false">
      <c r="A37" s="7" t="s">
        <v>1005</v>
      </c>
      <c r="B37" s="8" t="s">
        <v>1006</v>
      </c>
      <c r="C37" s="7" t="s">
        <v>1007</v>
      </c>
      <c r="D37" s="9" t="n">
        <v>17.3</v>
      </c>
      <c r="E37" s="7" t="s">
        <v>127</v>
      </c>
      <c r="F37" s="7" t="s">
        <v>341</v>
      </c>
      <c r="G37" s="7" t="s">
        <v>63</v>
      </c>
      <c r="H37" s="7" t="s">
        <v>64</v>
      </c>
      <c r="I37" s="8" t="s">
        <v>1008</v>
      </c>
      <c r="J37" s="10" t="s">
        <v>66</v>
      </c>
      <c r="K37" s="8" t="s">
        <v>221</v>
      </c>
      <c r="L37" s="8" t="s">
        <v>222</v>
      </c>
      <c r="M37" s="7" t="s">
        <v>173</v>
      </c>
      <c r="N37" s="7" t="s">
        <v>223</v>
      </c>
      <c r="O37" s="7" t="s">
        <v>71</v>
      </c>
      <c r="P37" s="8" t="s">
        <v>1009</v>
      </c>
      <c r="Q37" s="7" t="s">
        <v>100</v>
      </c>
      <c r="R37" s="8"/>
      <c r="S37" s="7" t="s">
        <v>225</v>
      </c>
    </row>
    <row r="38" customFormat="false" ht="23.85" hidden="false" customHeight="false" outlineLevel="0" collapsed="false">
      <c r="A38" s="7" t="s">
        <v>1010</v>
      </c>
      <c r="B38" s="8" t="s">
        <v>1011</v>
      </c>
      <c r="C38" s="7" t="s">
        <v>969</v>
      </c>
      <c r="D38" s="9" t="n">
        <v>40</v>
      </c>
      <c r="E38" s="7" t="s">
        <v>127</v>
      </c>
      <c r="F38" s="7" t="s">
        <v>341</v>
      </c>
      <c r="G38" s="7" t="s">
        <v>63</v>
      </c>
      <c r="H38" s="7" t="s">
        <v>418</v>
      </c>
      <c r="I38" s="8" t="s">
        <v>1012</v>
      </c>
      <c r="J38" s="11" t="s">
        <v>94</v>
      </c>
      <c r="K38" s="8" t="s">
        <v>308</v>
      </c>
      <c r="L38" s="8" t="s">
        <v>309</v>
      </c>
      <c r="M38" s="7" t="s">
        <v>97</v>
      </c>
      <c r="N38" s="7" t="s">
        <v>310</v>
      </c>
      <c r="O38" s="7" t="s">
        <v>71</v>
      </c>
      <c r="P38" s="8"/>
      <c r="Q38" s="7" t="s">
        <v>100</v>
      </c>
      <c r="R38" s="8" t="s">
        <v>366</v>
      </c>
      <c r="S38" s="7" t="s">
        <v>312</v>
      </c>
    </row>
    <row r="39" customFormat="false" ht="35.05" hidden="false" customHeight="false" outlineLevel="0" collapsed="false">
      <c r="A39" s="7" t="s">
        <v>1013</v>
      </c>
      <c r="B39" s="8" t="s">
        <v>1014</v>
      </c>
      <c r="C39" s="7" t="s">
        <v>1015</v>
      </c>
      <c r="D39" s="9" t="n">
        <v>1</v>
      </c>
      <c r="E39" s="7" t="s">
        <v>1016</v>
      </c>
      <c r="F39" s="7" t="s">
        <v>62</v>
      </c>
      <c r="G39" s="7" t="s">
        <v>63</v>
      </c>
      <c r="H39" s="7" t="s">
        <v>64</v>
      </c>
      <c r="I39" s="8" t="s">
        <v>1017</v>
      </c>
      <c r="J39" s="10" t="s">
        <v>66</v>
      </c>
      <c r="K39" s="8" t="s">
        <v>118</v>
      </c>
      <c r="L39" s="8" t="s">
        <v>119</v>
      </c>
      <c r="M39" s="7" t="s">
        <v>120</v>
      </c>
      <c r="N39" s="7" t="s">
        <v>121</v>
      </c>
      <c r="O39" s="7" t="s">
        <v>71</v>
      </c>
      <c r="P39" s="8" t="s">
        <v>1018</v>
      </c>
      <c r="Q39" s="7" t="s">
        <v>100</v>
      </c>
      <c r="R39" s="8" t="s">
        <v>1019</v>
      </c>
      <c r="S39" s="7" t="s">
        <v>124</v>
      </c>
    </row>
    <row r="40" customFormat="false" ht="23.85" hidden="false" customHeight="false" outlineLevel="0" collapsed="false">
      <c r="A40" s="7" t="s">
        <v>1020</v>
      </c>
      <c r="B40" s="8" t="s">
        <v>1021</v>
      </c>
      <c r="C40" s="7" t="s">
        <v>944</v>
      </c>
      <c r="D40" s="9" t="n">
        <v>1</v>
      </c>
      <c r="E40" s="7" t="s">
        <v>1016</v>
      </c>
      <c r="F40" s="7" t="s">
        <v>341</v>
      </c>
      <c r="G40" s="7" t="s">
        <v>63</v>
      </c>
      <c r="H40" s="7" t="s">
        <v>64</v>
      </c>
      <c r="I40" s="8" t="s">
        <v>1022</v>
      </c>
      <c r="J40" s="10" t="s">
        <v>66</v>
      </c>
      <c r="K40" s="8" t="s">
        <v>317</v>
      </c>
      <c r="L40" s="8" t="s">
        <v>318</v>
      </c>
      <c r="M40" s="7" t="s">
        <v>319</v>
      </c>
      <c r="N40" s="7" t="s">
        <v>320</v>
      </c>
      <c r="O40" s="7" t="s">
        <v>71</v>
      </c>
      <c r="P40" s="8" t="s">
        <v>1023</v>
      </c>
      <c r="Q40" s="7" t="s">
        <v>73</v>
      </c>
      <c r="R40" s="8" t="s">
        <v>1024</v>
      </c>
      <c r="S40" s="7" t="s">
        <v>323</v>
      </c>
    </row>
    <row r="41" customFormat="false" ht="35.05" hidden="false" customHeight="false" outlineLevel="0" collapsed="false">
      <c r="A41" s="7" t="s">
        <v>1025</v>
      </c>
      <c r="B41" s="8" t="s">
        <v>1026</v>
      </c>
      <c r="C41" s="7" t="s">
        <v>1027</v>
      </c>
      <c r="D41" s="9" t="n">
        <v>1</v>
      </c>
      <c r="E41" s="7" t="s">
        <v>1016</v>
      </c>
      <c r="F41" s="7" t="s">
        <v>341</v>
      </c>
      <c r="G41" s="7" t="s">
        <v>63</v>
      </c>
      <c r="H41" s="7" t="s">
        <v>1028</v>
      </c>
      <c r="I41" s="8" t="s">
        <v>1022</v>
      </c>
      <c r="J41" s="10" t="s">
        <v>66</v>
      </c>
      <c r="K41" s="8" t="s">
        <v>1029</v>
      </c>
      <c r="L41" s="8" t="s">
        <v>1030</v>
      </c>
      <c r="M41" s="7" t="s">
        <v>364</v>
      </c>
      <c r="N41" s="7" t="s">
        <v>197</v>
      </c>
      <c r="O41" s="7" t="s">
        <v>71</v>
      </c>
      <c r="P41" s="8" t="s">
        <v>1031</v>
      </c>
      <c r="Q41" s="7" t="s">
        <v>100</v>
      </c>
      <c r="R41" s="8"/>
      <c r="S41" s="7" t="s">
        <v>1032</v>
      </c>
    </row>
    <row r="42" customFormat="false" ht="35.05" hidden="false" customHeight="false" outlineLevel="0" collapsed="false">
      <c r="A42" s="7" t="s">
        <v>1033</v>
      </c>
      <c r="B42" s="8" t="s">
        <v>1034</v>
      </c>
      <c r="C42" s="7" t="s">
        <v>960</v>
      </c>
      <c r="D42" s="9" t="n">
        <v>1</v>
      </c>
      <c r="E42" s="7" t="s">
        <v>1016</v>
      </c>
      <c r="F42" s="7" t="s">
        <v>341</v>
      </c>
      <c r="G42" s="7" t="s">
        <v>63</v>
      </c>
      <c r="H42" s="7" t="s">
        <v>64</v>
      </c>
      <c r="I42" s="8" t="s">
        <v>1035</v>
      </c>
      <c r="J42" s="10" t="s">
        <v>66</v>
      </c>
      <c r="K42" s="8" t="s">
        <v>435</v>
      </c>
      <c r="L42" s="8" t="s">
        <v>436</v>
      </c>
      <c r="M42" s="7" t="s">
        <v>364</v>
      </c>
      <c r="N42" s="7" t="s">
        <v>437</v>
      </c>
      <c r="O42" s="7" t="s">
        <v>71</v>
      </c>
      <c r="P42" s="8"/>
      <c r="Q42" s="7" t="s">
        <v>100</v>
      </c>
      <c r="R42" s="8"/>
      <c r="S42" s="7" t="s">
        <v>440</v>
      </c>
    </row>
    <row r="43" customFormat="false" ht="23.85" hidden="false" customHeight="false" outlineLevel="0" collapsed="false">
      <c r="A43" s="7" t="s">
        <v>1036</v>
      </c>
      <c r="B43" s="8" t="s">
        <v>1037</v>
      </c>
      <c r="C43" s="7" t="s">
        <v>960</v>
      </c>
      <c r="D43" s="9" t="n">
        <v>1</v>
      </c>
      <c r="E43" s="7" t="s">
        <v>1016</v>
      </c>
      <c r="F43" s="7" t="s">
        <v>341</v>
      </c>
      <c r="G43" s="7" t="s">
        <v>63</v>
      </c>
      <c r="H43" s="7" t="s">
        <v>64</v>
      </c>
      <c r="I43" s="8" t="s">
        <v>1038</v>
      </c>
      <c r="J43" s="10" t="s">
        <v>66</v>
      </c>
      <c r="K43" s="8" t="s">
        <v>408</v>
      </c>
      <c r="L43" s="8" t="s">
        <v>409</v>
      </c>
      <c r="M43" s="7" t="s">
        <v>403</v>
      </c>
      <c r="N43" s="7" t="s">
        <v>197</v>
      </c>
      <c r="O43" s="7" t="s">
        <v>71</v>
      </c>
      <c r="P43" s="8"/>
      <c r="Q43" s="7" t="s">
        <v>73</v>
      </c>
      <c r="R43" s="8"/>
      <c r="S43" s="7" t="s">
        <v>412</v>
      </c>
    </row>
    <row r="44" customFormat="false" ht="35.05" hidden="false" customHeight="false" outlineLevel="0" collapsed="false">
      <c r="A44" s="7" t="s">
        <v>1039</v>
      </c>
      <c r="B44" s="8" t="s">
        <v>1040</v>
      </c>
      <c r="C44" s="7" t="s">
        <v>969</v>
      </c>
      <c r="D44" s="9" t="n">
        <v>1</v>
      </c>
      <c r="E44" s="7" t="s">
        <v>1016</v>
      </c>
      <c r="F44" s="7" t="s">
        <v>341</v>
      </c>
      <c r="G44" s="7" t="s">
        <v>63</v>
      </c>
      <c r="H44" s="7" t="s">
        <v>434</v>
      </c>
      <c r="I44" s="8" t="s">
        <v>1038</v>
      </c>
      <c r="J44" s="10" t="s">
        <v>66</v>
      </c>
      <c r="K44" s="8" t="s">
        <v>435</v>
      </c>
      <c r="L44" s="8" t="s">
        <v>436</v>
      </c>
      <c r="M44" s="7" t="s">
        <v>364</v>
      </c>
      <c r="N44" s="7" t="s">
        <v>437</v>
      </c>
      <c r="O44" s="7" t="s">
        <v>71</v>
      </c>
      <c r="P44" s="8"/>
      <c r="Q44" s="7" t="s">
        <v>73</v>
      </c>
      <c r="R44" s="8"/>
      <c r="S44" s="7" t="s">
        <v>440</v>
      </c>
    </row>
    <row r="45" customFormat="false" ht="23.85" hidden="false" customHeight="false" outlineLevel="0" collapsed="false">
      <c r="A45" s="7" t="s">
        <v>1041</v>
      </c>
      <c r="B45" s="8" t="s">
        <v>1042</v>
      </c>
      <c r="C45" s="7" t="s">
        <v>1043</v>
      </c>
      <c r="D45" s="9" t="n">
        <v>1</v>
      </c>
      <c r="E45" s="7" t="s">
        <v>1016</v>
      </c>
      <c r="F45" s="7" t="s">
        <v>341</v>
      </c>
      <c r="G45" s="7" t="s">
        <v>63</v>
      </c>
      <c r="H45" s="7" t="s">
        <v>64</v>
      </c>
      <c r="I45" s="8" t="s">
        <v>1044</v>
      </c>
      <c r="J45" s="11" t="s">
        <v>94</v>
      </c>
      <c r="K45" s="8" t="s">
        <v>272</v>
      </c>
      <c r="L45" s="8" t="s">
        <v>273</v>
      </c>
      <c r="M45" s="7" t="s">
        <v>196</v>
      </c>
      <c r="N45" s="7" t="s">
        <v>274</v>
      </c>
      <c r="O45" s="7" t="s">
        <v>71</v>
      </c>
      <c r="P45" s="8"/>
      <c r="Q45" s="7" t="s">
        <v>100</v>
      </c>
      <c r="R45" s="8" t="s">
        <v>366</v>
      </c>
      <c r="S45" s="7" t="s">
        <v>277</v>
      </c>
    </row>
    <row r="46" customFormat="false" ht="35.05" hidden="false" customHeight="false" outlineLevel="0" collapsed="false">
      <c r="A46" s="7" t="s">
        <v>1045</v>
      </c>
      <c r="B46" s="8" t="s">
        <v>1046</v>
      </c>
      <c r="C46" s="7" t="s">
        <v>973</v>
      </c>
      <c r="D46" s="9" t="n">
        <v>1</v>
      </c>
      <c r="E46" s="7" t="s">
        <v>1016</v>
      </c>
      <c r="F46" s="7" t="s">
        <v>341</v>
      </c>
      <c r="G46" s="7" t="s">
        <v>63</v>
      </c>
      <c r="H46" s="7" t="s">
        <v>64</v>
      </c>
      <c r="I46" s="8" t="s">
        <v>1047</v>
      </c>
      <c r="J46" s="10" t="s">
        <v>66</v>
      </c>
      <c r="K46" s="8" t="s">
        <v>435</v>
      </c>
      <c r="L46" s="8" t="s">
        <v>436</v>
      </c>
      <c r="M46" s="7" t="s">
        <v>364</v>
      </c>
      <c r="N46" s="7" t="s">
        <v>437</v>
      </c>
      <c r="O46" s="7" t="s">
        <v>71</v>
      </c>
      <c r="P46" s="8" t="s">
        <v>1048</v>
      </c>
      <c r="Q46" s="7" t="s">
        <v>73</v>
      </c>
      <c r="R46" s="8"/>
      <c r="S46" s="7" t="s">
        <v>440</v>
      </c>
    </row>
    <row r="47" customFormat="false" ht="35.05" hidden="false" customHeight="false" outlineLevel="0" collapsed="false">
      <c r="A47" s="7" t="s">
        <v>1049</v>
      </c>
      <c r="B47" s="8" t="s">
        <v>1050</v>
      </c>
      <c r="C47" s="7" t="s">
        <v>969</v>
      </c>
      <c r="D47" s="9" t="n">
        <v>1</v>
      </c>
      <c r="E47" s="7" t="s">
        <v>1016</v>
      </c>
      <c r="F47" s="7" t="s">
        <v>341</v>
      </c>
      <c r="G47" s="7" t="s">
        <v>63</v>
      </c>
      <c r="H47" s="7" t="s">
        <v>64</v>
      </c>
      <c r="I47" s="8" t="s">
        <v>1047</v>
      </c>
      <c r="J47" s="10" t="s">
        <v>66</v>
      </c>
      <c r="K47" s="8" t="s">
        <v>435</v>
      </c>
      <c r="L47" s="8" t="s">
        <v>436</v>
      </c>
      <c r="M47" s="7" t="s">
        <v>364</v>
      </c>
      <c r="N47" s="7" t="s">
        <v>437</v>
      </c>
      <c r="O47" s="7" t="s">
        <v>71</v>
      </c>
      <c r="P47" s="8" t="s">
        <v>1051</v>
      </c>
      <c r="Q47" s="7" t="s">
        <v>100</v>
      </c>
      <c r="R47" s="8"/>
      <c r="S47" s="7" t="s">
        <v>440</v>
      </c>
    </row>
  </sheetData>
  <autoFilter ref="A1:S4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6"/>
    <col collapsed="false" customWidth="true" hidden="false" outlineLevel="0" max="3" min="3" style="0" width="20"/>
    <col collapsed="false" customWidth="true" hidden="false" outlineLevel="0" max="4" min="4" style="0" width="44"/>
    <col collapsed="false" customWidth="true" hidden="false" outlineLevel="0" max="10" min="5" style="0" width="11"/>
    <col collapsed="false" customWidth="true" hidden="false" outlineLevel="0" max="11" min="11" style="0" width="13"/>
    <col collapsed="false" customWidth="true" hidden="false" outlineLevel="0" max="12" min="12" style="0" width="16"/>
    <col collapsed="false" customWidth="true" hidden="false" outlineLevel="0" max="13" min="13" style="0" width="14"/>
    <col collapsed="false" customWidth="true" hidden="false" outlineLevel="0" max="14" min="14" style="0" width="46"/>
    <col collapsed="false" customWidth="true" hidden="false" outlineLevel="0" max="15" min="15" style="0" width="60"/>
    <col collapsed="false" customWidth="true" hidden="false" outlineLevel="0" max="16" min="16" style="0" width="22"/>
    <col collapsed="false" customWidth="true" hidden="false" outlineLevel="0" max="18" min="17" style="0" width="11"/>
  </cols>
  <sheetData>
    <row r="1" customFormat="false" ht="30" hidden="false" customHeight="true" outlineLevel="0" collapsed="false">
      <c r="A1" s="6" t="s">
        <v>1052</v>
      </c>
      <c r="B1" s="6" t="s">
        <v>1053</v>
      </c>
      <c r="C1" s="6" t="s">
        <v>41</v>
      </c>
      <c r="D1" s="6" t="s">
        <v>1054</v>
      </c>
      <c r="E1" s="6" t="s">
        <v>1055</v>
      </c>
      <c r="F1" s="6" t="s">
        <v>1056</v>
      </c>
      <c r="G1" s="6" t="s">
        <v>1057</v>
      </c>
      <c r="H1" s="6" t="s">
        <v>1058</v>
      </c>
      <c r="I1" s="6" t="s">
        <v>1059</v>
      </c>
      <c r="J1" s="6" t="s">
        <v>1060</v>
      </c>
      <c r="K1" s="6" t="s">
        <v>1061</v>
      </c>
      <c r="L1" s="6" t="s">
        <v>43</v>
      </c>
      <c r="M1" s="6" t="s">
        <v>48</v>
      </c>
      <c r="N1" s="6" t="s">
        <v>1062</v>
      </c>
      <c r="O1" s="6" t="s">
        <v>1063</v>
      </c>
      <c r="P1" s="6" t="s">
        <v>1064</v>
      </c>
      <c r="Q1" s="16" t="s">
        <v>1065</v>
      </c>
      <c r="R1" s="16" t="s">
        <v>1066</v>
      </c>
    </row>
    <row r="2" customFormat="false" ht="61.5" hidden="false" customHeight="true" outlineLevel="0" collapsed="false">
      <c r="A2" s="7" t="s">
        <v>1067</v>
      </c>
      <c r="B2" s="8" t="s">
        <v>1068</v>
      </c>
      <c r="C2" s="7" t="s">
        <v>1069</v>
      </c>
      <c r="D2" s="8" t="s">
        <v>1070</v>
      </c>
      <c r="E2" s="7" t="s">
        <v>88</v>
      </c>
      <c r="F2" s="9" t="n">
        <f aca="false">IFERROR(INDEX(Company_Financials!$D:$D,MATCH(E2,Company_Financials!$A:$A,0)),"n/a")</f>
        <v>187</v>
      </c>
      <c r="G2" s="7" t="s">
        <v>76</v>
      </c>
      <c r="H2" s="9" t="n">
        <f aca="false">IFERROR(INDEX(Company_Financials!$D:$D,MATCH(G2,Company_Financials!$A:$A,0)),"n/a")</f>
        <v>165</v>
      </c>
      <c r="I2" s="7"/>
      <c r="J2" s="7"/>
      <c r="K2" s="17" t="n">
        <f aca="false">IFERROR(F2/H2-1,"n/a")</f>
        <v>0.133333333333333</v>
      </c>
      <c r="L2" s="7" t="s">
        <v>127</v>
      </c>
      <c r="M2" s="15" t="s">
        <v>644</v>
      </c>
      <c r="N2" s="8" t="s">
        <v>1071</v>
      </c>
      <c r="O2" s="8" t="s">
        <v>1072</v>
      </c>
      <c r="P2" s="8" t="s">
        <v>1073</v>
      </c>
    </row>
    <row r="3" customFormat="false" ht="61.5" hidden="false" customHeight="true" outlineLevel="0" collapsed="false">
      <c r="A3" s="7" t="s">
        <v>1074</v>
      </c>
      <c r="B3" s="8" t="s">
        <v>1075</v>
      </c>
      <c r="C3" s="7" t="s">
        <v>1076</v>
      </c>
      <c r="D3" s="8" t="s">
        <v>1077</v>
      </c>
      <c r="E3" s="7" t="s">
        <v>227</v>
      </c>
      <c r="F3" s="9" t="n">
        <f aca="false">IFERROR(INDEX(Company_Financials!$D:$D,MATCH(E3,Company_Financials!$A:$A,0)),"n/a")</f>
        <v>339</v>
      </c>
      <c r="G3" s="7" t="s">
        <v>178</v>
      </c>
      <c r="H3" s="9" t="n">
        <f aca="false">IFERROR(INDEX(Company_Financials!$D:$D,MATCH(G3,Company_Financials!$A:$A,0)),"n/a")</f>
        <v>280</v>
      </c>
      <c r="I3" s="7"/>
      <c r="J3" s="7"/>
      <c r="K3" s="17" t="n">
        <f aca="false">IFERROR(F3/H3-1,"n/a")</f>
        <v>0.210714285714286</v>
      </c>
      <c r="L3" s="7" t="s">
        <v>127</v>
      </c>
      <c r="M3" s="15" t="s">
        <v>644</v>
      </c>
      <c r="N3" s="8" t="s">
        <v>1078</v>
      </c>
      <c r="O3" s="8" t="s">
        <v>1079</v>
      </c>
      <c r="P3" s="8" t="s">
        <v>1073</v>
      </c>
    </row>
    <row r="4" customFormat="false" ht="61.5" hidden="false" customHeight="true" outlineLevel="0" collapsed="false">
      <c r="A4" s="7" t="s">
        <v>1080</v>
      </c>
      <c r="B4" s="8" t="s">
        <v>1081</v>
      </c>
      <c r="C4" s="7" t="s">
        <v>1082</v>
      </c>
      <c r="D4" s="8" t="s">
        <v>1083</v>
      </c>
      <c r="E4" s="7" t="s">
        <v>241</v>
      </c>
      <c r="F4" s="9" t="n">
        <f aca="false">IFERROR(INDEX(Company_Financials!$D:$D,MATCH(E4,Company_Financials!$A:$A,0)),"n/a")</f>
        <v>75</v>
      </c>
      <c r="G4" s="7" t="s">
        <v>230</v>
      </c>
      <c r="H4" s="9" t="n">
        <f aca="false">IFERROR(INDEX(Company_Financials!$D:$D,MATCH(G4,Company_Financials!$A:$A,0)),"n/a")</f>
        <v>68</v>
      </c>
      <c r="I4" s="7"/>
      <c r="J4" s="7"/>
      <c r="K4" s="17" t="n">
        <f aca="false">IFERROR(F4/H4-1,"n/a")</f>
        <v>0.102941176470588</v>
      </c>
      <c r="L4" s="7" t="s">
        <v>127</v>
      </c>
      <c r="M4" s="15" t="s">
        <v>644</v>
      </c>
      <c r="N4" s="8" t="s">
        <v>1084</v>
      </c>
      <c r="O4" s="8" t="s">
        <v>1085</v>
      </c>
      <c r="P4" s="8" t="s">
        <v>1086</v>
      </c>
    </row>
    <row r="5" customFormat="false" ht="61.5" hidden="false" customHeight="true" outlineLevel="0" collapsed="false">
      <c r="A5" s="7" t="s">
        <v>1087</v>
      </c>
      <c r="B5" s="8" t="s">
        <v>1088</v>
      </c>
      <c r="C5" s="7" t="s">
        <v>1082</v>
      </c>
      <c r="D5" s="8" t="s">
        <v>1089</v>
      </c>
      <c r="E5" s="7" t="s">
        <v>235</v>
      </c>
      <c r="F5" s="9" t="n">
        <f aca="false">IFERROR(INDEX(Company_Financials!$D:$D,MATCH(E5,Company_Financials!$A:$A,0)),"n/a")</f>
        <v>90</v>
      </c>
      <c r="G5" s="7" t="s">
        <v>230</v>
      </c>
      <c r="H5" s="9" t="n">
        <f aca="false">IFERROR(INDEX(Company_Financials!$D:$D,MATCH(G5,Company_Financials!$A:$A,0)),"n/a")</f>
        <v>68</v>
      </c>
      <c r="I5" s="7"/>
      <c r="J5" s="7"/>
      <c r="K5" s="17" t="n">
        <f aca="false">IFERROR(F5/H5-1,"n/a")</f>
        <v>0.323529411764706</v>
      </c>
      <c r="L5" s="7" t="s">
        <v>127</v>
      </c>
      <c r="M5" s="15" t="s">
        <v>644</v>
      </c>
      <c r="N5" s="8" t="s">
        <v>1090</v>
      </c>
      <c r="O5" s="8" t="s">
        <v>1091</v>
      </c>
      <c r="P5" s="8" t="s">
        <v>1092</v>
      </c>
    </row>
    <row r="6" customFormat="false" ht="61.5" hidden="false" customHeight="true" outlineLevel="0" collapsed="false">
      <c r="A6" s="7" t="s">
        <v>1093</v>
      </c>
      <c r="B6" s="8" t="s">
        <v>1094</v>
      </c>
      <c r="C6" s="7" t="s">
        <v>237</v>
      </c>
      <c r="D6" s="8" t="s">
        <v>1095</v>
      </c>
      <c r="E6" s="7" t="s">
        <v>235</v>
      </c>
      <c r="F6" s="9" t="n">
        <f aca="false">IFERROR(INDEX(Company_Financials!$D:$D,MATCH(E6,Company_Financials!$A:$A,0)),"n/a")</f>
        <v>90</v>
      </c>
      <c r="G6" s="7" t="s">
        <v>241</v>
      </c>
      <c r="H6" s="9" t="n">
        <f aca="false">IFERROR(INDEX(Company_Financials!$D:$D,MATCH(G6,Company_Financials!$A:$A,0)),"n/a")</f>
        <v>75</v>
      </c>
      <c r="I6" s="7"/>
      <c r="J6" s="7"/>
      <c r="K6" s="18" t="n">
        <f aca="false">IFERROR(F6-H6,"n/a")</f>
        <v>15</v>
      </c>
      <c r="L6" s="7" t="s">
        <v>61</v>
      </c>
      <c r="M6" s="15" t="s">
        <v>644</v>
      </c>
      <c r="N6" s="8" t="s">
        <v>1096</v>
      </c>
      <c r="O6" s="8" t="s">
        <v>1097</v>
      </c>
      <c r="P6" s="8" t="s">
        <v>1086</v>
      </c>
    </row>
    <row r="7" customFormat="false" ht="61.5" hidden="false" customHeight="true" outlineLevel="0" collapsed="false">
      <c r="A7" s="7" t="s">
        <v>1098</v>
      </c>
      <c r="B7" s="8" t="s">
        <v>1099</v>
      </c>
      <c r="C7" s="7" t="s">
        <v>237</v>
      </c>
      <c r="D7" s="8" t="s">
        <v>1100</v>
      </c>
      <c r="E7" s="7" t="s">
        <v>235</v>
      </c>
      <c r="F7" s="9" t="n">
        <f aca="false">IFERROR(INDEX(Company_Financials!$D:$D,MATCH(E7,Company_Financials!$A:$A,0)),"n/a")</f>
        <v>90</v>
      </c>
      <c r="G7" s="7" t="s">
        <v>241</v>
      </c>
      <c r="H7" s="9" t="n">
        <f aca="false">IFERROR(INDEX(Company_Financials!$D:$D,MATCH(G7,Company_Financials!$A:$A,0)),"n/a")</f>
        <v>75</v>
      </c>
      <c r="I7" s="7" t="s">
        <v>230</v>
      </c>
      <c r="J7" s="9" t="n">
        <f aca="false">IFERROR(INDEX(Company_Financials!$D:$D,MATCH(I7,Company_Financials!$A:$A,0)),"n/a")</f>
        <v>68</v>
      </c>
      <c r="K7" s="18" t="n">
        <f aca="false">IFERROR((F7/J7-1-(H7/J7-1))*100,"n/a")</f>
        <v>22.0588235294118</v>
      </c>
      <c r="L7" s="7" t="s">
        <v>1101</v>
      </c>
      <c r="M7" s="15" t="s">
        <v>644</v>
      </c>
      <c r="N7" s="8" t="s">
        <v>1102</v>
      </c>
      <c r="O7" s="8" t="s">
        <v>1103</v>
      </c>
      <c r="P7" s="8" t="s">
        <v>1073</v>
      </c>
    </row>
    <row r="8" customFormat="false" ht="61.5" hidden="false" customHeight="true" outlineLevel="0" collapsed="false">
      <c r="A8" s="7" t="s">
        <v>1104</v>
      </c>
      <c r="B8" s="8" t="s">
        <v>1105</v>
      </c>
      <c r="C8" s="7" t="s">
        <v>1106</v>
      </c>
      <c r="D8" s="8" t="s">
        <v>1107</v>
      </c>
      <c r="E8" s="7" t="s">
        <v>227</v>
      </c>
      <c r="F8" s="9" t="n">
        <f aca="false">IFERROR(INDEX(Company_Financials!$D:$D,MATCH(E8,Company_Financials!$A:$A,0)),"n/a")</f>
        <v>339</v>
      </c>
      <c r="G8" s="7" t="s">
        <v>88</v>
      </c>
      <c r="H8" s="9" t="n">
        <f aca="false">IFERROR(INDEX(Company_Financials!$D:$D,MATCH(G8,Company_Financials!$A:$A,0)),"n/a")</f>
        <v>187</v>
      </c>
      <c r="I8" s="7"/>
      <c r="J8" s="7"/>
      <c r="K8" s="17" t="n">
        <f aca="false">IFERROR((F8/H8)^(1/5)-1,"n/a")</f>
        <v>0.126345474192092</v>
      </c>
      <c r="L8" s="7" t="s">
        <v>127</v>
      </c>
      <c r="M8" s="15" t="s">
        <v>644</v>
      </c>
      <c r="N8" s="8" t="s">
        <v>1108</v>
      </c>
      <c r="O8" s="8" t="s">
        <v>1109</v>
      </c>
      <c r="P8" s="8" t="s">
        <v>1073</v>
      </c>
    </row>
    <row r="9" customFormat="false" ht="61.5" hidden="false" customHeight="true" outlineLevel="0" collapsed="false">
      <c r="A9" s="7" t="s">
        <v>1110</v>
      </c>
      <c r="B9" s="8" t="s">
        <v>1111</v>
      </c>
      <c r="C9" s="7" t="s">
        <v>340</v>
      </c>
      <c r="D9" s="8" t="s">
        <v>1112</v>
      </c>
      <c r="E9" s="7" t="s">
        <v>241</v>
      </c>
      <c r="F9" s="9" t="n">
        <f aca="false">IFERROR(INDEX(Company_Financials!$D:$D,MATCH(E9,Company_Financials!$A:$A,0)),"n/a")</f>
        <v>75</v>
      </c>
      <c r="G9" s="7" t="s">
        <v>88</v>
      </c>
      <c r="H9" s="9" t="n">
        <f aca="false">IFERROR(INDEX(Company_Financials!$D:$D,MATCH(G9,Company_Financials!$A:$A,0)),"n/a")</f>
        <v>187</v>
      </c>
      <c r="I9" s="7" t="s">
        <v>755</v>
      </c>
      <c r="J9" s="9" t="n">
        <f aca="false">IFERROR(INDEX(Macroeconomic_Context!$D:$D,MATCH(I9,Macroeconomic_Context!$A:$A,0)),"n/a")</f>
        <v>5.0415</v>
      </c>
      <c r="K9" s="17" t="n">
        <f aca="false">IFERROR(((F9*J9)/H9)^(1/6)-1,"n/a")</f>
        <v>0.124509783010659</v>
      </c>
      <c r="L9" s="7" t="s">
        <v>127</v>
      </c>
      <c r="M9" s="15" t="s">
        <v>644</v>
      </c>
      <c r="N9" s="8" t="s">
        <v>1113</v>
      </c>
      <c r="O9" s="8" t="s">
        <v>1114</v>
      </c>
      <c r="P9" s="8" t="s">
        <v>1086</v>
      </c>
    </row>
    <row r="10" customFormat="false" ht="61.5" hidden="false" customHeight="true" outlineLevel="0" collapsed="false">
      <c r="A10" s="7" t="s">
        <v>1115</v>
      </c>
      <c r="B10" s="8" t="s">
        <v>1116</v>
      </c>
      <c r="C10" s="7" t="s">
        <v>1117</v>
      </c>
      <c r="D10" s="8" t="s">
        <v>1118</v>
      </c>
      <c r="E10" s="7" t="s">
        <v>241</v>
      </c>
      <c r="F10" s="9" t="n">
        <f aca="false">IFERROR(INDEX(Company_Financials!$D:$D,MATCH(E10,Company_Financials!$A:$A,0)),"n/a")</f>
        <v>75</v>
      </c>
      <c r="G10" s="7" t="s">
        <v>163</v>
      </c>
      <c r="H10" s="9" t="n">
        <f aca="false">IFERROR(INDEX(Company_Financials!$D:$D,MATCH(G10,Company_Financials!$A:$A,0)),"n/a")</f>
        <v>44</v>
      </c>
      <c r="I10" s="7"/>
      <c r="J10" s="7"/>
      <c r="K10" s="17" t="n">
        <f aca="false">IFERROR((F10/H10)^(1/3)-1,"n/a")</f>
        <v>0.19454595579426</v>
      </c>
      <c r="L10" s="7" t="s">
        <v>127</v>
      </c>
      <c r="M10" s="15" t="s">
        <v>644</v>
      </c>
      <c r="N10" s="8" t="s">
        <v>1119</v>
      </c>
      <c r="O10" s="8" t="s">
        <v>1120</v>
      </c>
      <c r="P10" s="8" t="s">
        <v>1086</v>
      </c>
    </row>
    <row r="11" customFormat="false" ht="61.5" hidden="false" customHeight="true" outlineLevel="0" collapsed="false">
      <c r="A11" s="7" t="s">
        <v>1121</v>
      </c>
      <c r="B11" s="8" t="s">
        <v>1122</v>
      </c>
      <c r="C11" s="7" t="s">
        <v>1123</v>
      </c>
      <c r="D11" s="8" t="s">
        <v>1124</v>
      </c>
      <c r="E11" s="7" t="s">
        <v>154</v>
      </c>
      <c r="F11" s="9" t="n">
        <f aca="false">IFERROR(INDEX(Company_Financials!$D:$D,MATCH(E11,Company_Financials!$A:$A,0)),"n/a")</f>
        <v>25</v>
      </c>
      <c r="G11" s="7" t="s">
        <v>143</v>
      </c>
      <c r="H11" s="9" t="n">
        <f aca="false">IFERROR(INDEX(Company_Financials!$D:$D,MATCH(G11,Company_Financials!$A:$A,0)),"n/a")</f>
        <v>16</v>
      </c>
      <c r="I11" s="7"/>
      <c r="J11" s="7"/>
      <c r="K11" s="17" t="n">
        <f aca="false">IFERROR(F11/H11-1,"n/a")</f>
        <v>0.5625</v>
      </c>
      <c r="L11" s="7" t="s">
        <v>127</v>
      </c>
      <c r="M11" s="15" t="s">
        <v>644</v>
      </c>
      <c r="N11" s="8" t="s">
        <v>1125</v>
      </c>
      <c r="O11" s="8" t="s">
        <v>1126</v>
      </c>
      <c r="P11" s="8" t="s">
        <v>1127</v>
      </c>
    </row>
    <row r="12" customFormat="false" ht="61.5" hidden="false" customHeight="true" outlineLevel="0" collapsed="false">
      <c r="A12" s="7" t="s">
        <v>1128</v>
      </c>
      <c r="B12" s="8" t="s">
        <v>1129</v>
      </c>
      <c r="C12" s="7" t="s">
        <v>1130</v>
      </c>
      <c r="D12" s="8" t="s">
        <v>1131</v>
      </c>
      <c r="E12" s="7" t="s">
        <v>163</v>
      </c>
      <c r="F12" s="9" t="n">
        <f aca="false">IFERROR(INDEX(Company_Financials!$D:$D,MATCH(E12,Company_Financials!$A:$A,0)),"n/a")</f>
        <v>44</v>
      </c>
      <c r="G12" s="7" t="s">
        <v>154</v>
      </c>
      <c r="H12" s="9" t="n">
        <f aca="false">IFERROR(INDEX(Company_Financials!$D:$D,MATCH(G12,Company_Financials!$A:$A,0)),"n/a")</f>
        <v>25</v>
      </c>
      <c r="I12" s="7"/>
      <c r="J12" s="7"/>
      <c r="K12" s="17" t="n">
        <f aca="false">IFERROR(F12/H12-1,"n/a")</f>
        <v>0.76</v>
      </c>
      <c r="L12" s="7" t="s">
        <v>127</v>
      </c>
      <c r="M12" s="15" t="s">
        <v>644</v>
      </c>
      <c r="N12" s="8" t="s">
        <v>1132</v>
      </c>
      <c r="O12" s="8" t="s">
        <v>1133</v>
      </c>
      <c r="P12" s="8" t="s">
        <v>1127</v>
      </c>
    </row>
    <row r="13" customFormat="false" ht="61.5" hidden="false" customHeight="true" outlineLevel="0" collapsed="false">
      <c r="A13" s="7" t="s">
        <v>1134</v>
      </c>
      <c r="B13" s="8" t="s">
        <v>1135</v>
      </c>
      <c r="C13" s="7" t="s">
        <v>1136</v>
      </c>
      <c r="D13" s="8" t="s">
        <v>1137</v>
      </c>
      <c r="E13" s="7" t="s">
        <v>186</v>
      </c>
      <c r="F13" s="9" t="n">
        <f aca="false">IFERROR(INDEX(Company_Financials!$D:$D,MATCH(E13,Company_Financials!$A:$A,0)),"n/a")</f>
        <v>56.5</v>
      </c>
      <c r="G13" s="7" t="s">
        <v>163</v>
      </c>
      <c r="H13" s="9" t="n">
        <f aca="false">IFERROR(INDEX(Company_Financials!$D:$D,MATCH(G13,Company_Financials!$A:$A,0)),"n/a")</f>
        <v>44</v>
      </c>
      <c r="I13" s="7"/>
      <c r="J13" s="7"/>
      <c r="K13" s="17" t="n">
        <f aca="false">IFERROR(F13/H13-1,"n/a")</f>
        <v>0.284090909090909</v>
      </c>
      <c r="L13" s="7" t="s">
        <v>127</v>
      </c>
      <c r="M13" s="15" t="s">
        <v>644</v>
      </c>
      <c r="N13" s="8" t="s">
        <v>1138</v>
      </c>
      <c r="O13" s="8" t="s">
        <v>1139</v>
      </c>
      <c r="P13" s="8" t="s">
        <v>1127</v>
      </c>
    </row>
    <row r="14" customFormat="false" ht="61.5" hidden="false" customHeight="true" outlineLevel="0" collapsed="false">
      <c r="A14" s="7" t="s">
        <v>1140</v>
      </c>
      <c r="B14" s="8" t="s">
        <v>1141</v>
      </c>
      <c r="C14" s="7" t="s">
        <v>1142</v>
      </c>
      <c r="D14" s="8" t="s">
        <v>1143</v>
      </c>
      <c r="E14" s="7" t="s">
        <v>278</v>
      </c>
      <c r="F14" s="9" t="n">
        <f aca="false">IFERROR(INDEX(Company_Financials!$D:$D,MATCH(E14,Company_Financials!$A:$A,0)),"n/a")</f>
        <v>100</v>
      </c>
      <c r="G14" s="7" t="s">
        <v>235</v>
      </c>
      <c r="H14" s="9" t="n">
        <f aca="false">IFERROR(INDEX(Company_Financials!$D:$D,MATCH(G14,Company_Financials!$A:$A,0)),"n/a")</f>
        <v>90</v>
      </c>
      <c r="I14" s="7"/>
      <c r="J14" s="7"/>
      <c r="K14" s="18" t="n">
        <f aca="false">IFERROR(F14-H14,"n/a")</f>
        <v>10</v>
      </c>
      <c r="L14" s="7" t="s">
        <v>61</v>
      </c>
      <c r="M14" s="15" t="s">
        <v>644</v>
      </c>
      <c r="N14" s="8" t="s">
        <v>1144</v>
      </c>
      <c r="O14" s="8" t="s">
        <v>1145</v>
      </c>
      <c r="P14" s="8" t="s">
        <v>1073</v>
      </c>
    </row>
    <row r="15" customFormat="false" ht="61.5" hidden="false" customHeight="true" outlineLevel="0" collapsed="false">
      <c r="A15" s="7" t="s">
        <v>1146</v>
      </c>
      <c r="B15" s="8" t="s">
        <v>1147</v>
      </c>
      <c r="C15" s="7" t="s">
        <v>279</v>
      </c>
      <c r="D15" s="8" t="s">
        <v>1148</v>
      </c>
      <c r="E15" s="7" t="s">
        <v>278</v>
      </c>
      <c r="F15" s="9" t="n">
        <f aca="false">IFERROR(INDEX(Company_Financials!$D:$D,MATCH(E15,Company_Financials!$A:$A,0)),"n/a")</f>
        <v>100</v>
      </c>
      <c r="G15" s="7" t="s">
        <v>235</v>
      </c>
      <c r="H15" s="9" t="n">
        <f aca="false">IFERROR(INDEX(Company_Financials!$D:$D,MATCH(G15,Company_Financials!$A:$A,0)),"n/a")</f>
        <v>90</v>
      </c>
      <c r="I15" s="7"/>
      <c r="J15" s="7"/>
      <c r="K15" s="17" t="n">
        <f aca="false">IFERROR(F15/H15-1,"n/a")</f>
        <v>0.111111111111111</v>
      </c>
      <c r="L15" s="7" t="s">
        <v>127</v>
      </c>
      <c r="M15" s="15" t="s">
        <v>644</v>
      </c>
      <c r="N15" s="8" t="s">
        <v>1149</v>
      </c>
      <c r="O15" s="8" t="s">
        <v>1150</v>
      </c>
      <c r="P15" s="8" t="s">
        <v>1073</v>
      </c>
    </row>
    <row r="16" customFormat="false" ht="61.5" hidden="false" customHeight="true" outlineLevel="0" collapsed="false">
      <c r="A16" s="7" t="s">
        <v>1151</v>
      </c>
      <c r="B16" s="8" t="s">
        <v>1152</v>
      </c>
      <c r="C16" s="7" t="s">
        <v>279</v>
      </c>
      <c r="D16" s="8" t="s">
        <v>1153</v>
      </c>
      <c r="E16" s="7" t="s">
        <v>282</v>
      </c>
      <c r="F16" s="9" t="n">
        <f aca="false">IFERROR(INDEX(Company_Financials!$D:$D,MATCH(E16,Company_Financials!$A:$A,0)),"n/a")</f>
        <v>500</v>
      </c>
      <c r="G16" s="7" t="s">
        <v>235</v>
      </c>
      <c r="H16" s="9" t="n">
        <f aca="false">IFERROR(INDEX(Company_Financials!$D:$D,MATCH(G16,Company_Financials!$A:$A,0)),"n/a")</f>
        <v>90</v>
      </c>
      <c r="I16" s="7" t="s">
        <v>755</v>
      </c>
      <c r="J16" s="9" t="n">
        <f aca="false">IFERROR(INDEX(Macroeconomic_Context!$D:$D,MATCH(I16,Macroeconomic_Context!$A:$A,0)),"n/a")</f>
        <v>5.0415</v>
      </c>
      <c r="K16" s="17" t="n">
        <f aca="false">IFERROR(F16/(H16*J16)-1,"n/a")</f>
        <v>0.101964803244184</v>
      </c>
      <c r="L16" s="7" t="s">
        <v>127</v>
      </c>
      <c r="M16" s="15" t="s">
        <v>644</v>
      </c>
      <c r="N16" s="8" t="s">
        <v>1154</v>
      </c>
      <c r="O16" s="8" t="s">
        <v>1155</v>
      </c>
      <c r="P16" s="8" t="s">
        <v>1086</v>
      </c>
    </row>
    <row r="17" customFormat="false" ht="61.5" hidden="false" customHeight="true" outlineLevel="0" collapsed="false">
      <c r="A17" s="7" t="s">
        <v>1156</v>
      </c>
      <c r="B17" s="8" t="s">
        <v>1157</v>
      </c>
      <c r="C17" s="7" t="s">
        <v>1158</v>
      </c>
      <c r="D17" s="8" t="s">
        <v>1159</v>
      </c>
      <c r="E17" s="7" t="s">
        <v>282</v>
      </c>
      <c r="F17" s="9" t="n">
        <f aca="false">IFERROR(INDEX(Company_Financials!$D:$D,MATCH(E17,Company_Financials!$A:$A,0)),"n/a")</f>
        <v>500</v>
      </c>
      <c r="G17" s="7" t="s">
        <v>278</v>
      </c>
      <c r="H17" s="9" t="n">
        <f aca="false">IFERROR(INDEX(Company_Financials!$D:$D,MATCH(G17,Company_Financials!$A:$A,0)),"n/a")</f>
        <v>100</v>
      </c>
      <c r="I17" s="7"/>
      <c r="J17" s="7"/>
      <c r="K17" s="18" t="n">
        <f aca="false">IFERROR(F17/H17,"n/a")</f>
        <v>5</v>
      </c>
      <c r="L17" s="7" t="s">
        <v>743</v>
      </c>
      <c r="M17" s="15" t="s">
        <v>644</v>
      </c>
      <c r="N17" s="8" t="s">
        <v>1160</v>
      </c>
      <c r="O17" s="8" t="s">
        <v>1161</v>
      </c>
      <c r="P17" s="8" t="s">
        <v>1162</v>
      </c>
    </row>
    <row r="18" customFormat="false" ht="61.5" hidden="false" customHeight="true" outlineLevel="0" collapsed="false">
      <c r="A18" s="7" t="s">
        <v>1163</v>
      </c>
      <c r="B18" s="8" t="s">
        <v>1164</v>
      </c>
      <c r="C18" s="7" t="s">
        <v>271</v>
      </c>
      <c r="D18" s="8" t="s">
        <v>1165</v>
      </c>
      <c r="E18" s="7" t="s">
        <v>269</v>
      </c>
      <c r="F18" s="9" t="n">
        <f aca="false">IFERROR(INDEX(Company_Financials!$D:$D,MATCH(E18,Company_Financials!$A:$A,0)),"n/a")</f>
        <v>2</v>
      </c>
      <c r="G18" s="7" t="s">
        <v>278</v>
      </c>
      <c r="H18" s="9" t="n">
        <f aca="false">IFERROR(INDEX(Company_Financials!$D:$D,MATCH(G18,Company_Financials!$A:$A,0)),"n/a")</f>
        <v>100</v>
      </c>
      <c r="I18" s="7" t="s">
        <v>235</v>
      </c>
      <c r="J18" s="9" t="n">
        <f aca="false">IFERROR(INDEX(Company_Financials!$D:$D,MATCH(I18,Company_Financials!$A:$A,0)),"n/a")</f>
        <v>90</v>
      </c>
      <c r="K18" s="18" t="n">
        <f aca="false">IFERROR(F18-(H18/J18-1)*100,"n/a")</f>
        <v>-9.11111111111112</v>
      </c>
      <c r="L18" s="7" t="s">
        <v>1101</v>
      </c>
      <c r="M18" s="15" t="s">
        <v>644</v>
      </c>
      <c r="N18" s="8" t="s">
        <v>1166</v>
      </c>
      <c r="O18" s="8" t="s">
        <v>1167</v>
      </c>
      <c r="P18" s="8" t="s">
        <v>1168</v>
      </c>
    </row>
    <row r="19" customFormat="false" ht="61.5" hidden="false" customHeight="true" outlineLevel="0" collapsed="false">
      <c r="A19" s="7" t="s">
        <v>1169</v>
      </c>
      <c r="B19" s="8" t="s">
        <v>1170</v>
      </c>
      <c r="C19" s="7" t="s">
        <v>1171</v>
      </c>
      <c r="D19" s="8" t="s">
        <v>1172</v>
      </c>
      <c r="E19" s="7" t="s">
        <v>256</v>
      </c>
      <c r="F19" s="9" t="n">
        <f aca="false">IFERROR(INDEX(Company_Financials!$D:$D,MATCH(E19,Company_Financials!$A:$A,0)),"n/a")</f>
        <v>63.5</v>
      </c>
      <c r="G19" s="7" t="s">
        <v>241</v>
      </c>
      <c r="H19" s="9" t="n">
        <f aca="false">IFERROR(INDEX(Company_Financials!$D:$D,MATCH(G19,Company_Financials!$A:$A,0)),"n/a")</f>
        <v>75</v>
      </c>
      <c r="I19" s="7"/>
      <c r="J19" s="7"/>
      <c r="K19" s="17" t="n">
        <f aca="false">IFERROR(F19/H19,"n/a")</f>
        <v>0.846666666666667</v>
      </c>
      <c r="L19" s="7" t="s">
        <v>1173</v>
      </c>
      <c r="M19" s="15" t="s">
        <v>644</v>
      </c>
      <c r="N19" s="8" t="s">
        <v>1174</v>
      </c>
      <c r="O19" s="8" t="s">
        <v>1175</v>
      </c>
      <c r="P19" s="8" t="s">
        <v>1176</v>
      </c>
    </row>
    <row r="20" customFormat="false" ht="61.5" hidden="false" customHeight="true" outlineLevel="0" collapsed="false">
      <c r="A20" s="7" t="s">
        <v>1177</v>
      </c>
      <c r="B20" s="8" t="s">
        <v>1178</v>
      </c>
      <c r="C20" s="7" t="s">
        <v>237</v>
      </c>
      <c r="D20" s="8" t="s">
        <v>1179</v>
      </c>
      <c r="E20" s="7" t="s">
        <v>241</v>
      </c>
      <c r="F20" s="9" t="n">
        <f aca="false">IFERROR(INDEX(Company_Financials!$D:$D,MATCH(E20,Company_Financials!$A:$A,0)),"n/a")</f>
        <v>75</v>
      </c>
      <c r="G20" s="7" t="s">
        <v>230</v>
      </c>
      <c r="H20" s="9" t="n">
        <f aca="false">IFERROR(INDEX(Company_Financials!$D:$D,MATCH(G20,Company_Financials!$A:$A,0)),"n/a")</f>
        <v>68</v>
      </c>
      <c r="I20" s="7" t="s">
        <v>484</v>
      </c>
      <c r="J20" s="9" t="n">
        <f aca="false">IFERROR(INDEX(Restaurant_Market!$D:$D,MATCH(I20,Restaurant_Market!$A:$A,0)),"n/a")</f>
        <v>7</v>
      </c>
      <c r="K20" s="18" t="n">
        <f aca="false">IFERROR((F20/H20-1)*100-J20,"n/a")</f>
        <v>3.29411764705883</v>
      </c>
      <c r="L20" s="7" t="s">
        <v>1101</v>
      </c>
      <c r="M20" s="15" t="s">
        <v>644</v>
      </c>
      <c r="N20" s="8" t="s">
        <v>1180</v>
      </c>
      <c r="O20" s="8" t="s">
        <v>1181</v>
      </c>
      <c r="P20" s="8" t="s">
        <v>1086</v>
      </c>
    </row>
    <row r="21" customFormat="false" ht="61.5" hidden="false" customHeight="true" outlineLevel="0" collapsed="false">
      <c r="A21" s="7" t="s">
        <v>1182</v>
      </c>
      <c r="B21" s="8" t="s">
        <v>1183</v>
      </c>
      <c r="C21" s="7" t="s">
        <v>237</v>
      </c>
      <c r="D21" s="8" t="s">
        <v>1184</v>
      </c>
      <c r="E21" s="7" t="s">
        <v>235</v>
      </c>
      <c r="F21" s="9" t="n">
        <f aca="false">IFERROR(INDEX(Company_Financials!$D:$D,MATCH(E21,Company_Financials!$A:$A,0)),"n/a")</f>
        <v>90</v>
      </c>
      <c r="G21" s="7" t="s">
        <v>230</v>
      </c>
      <c r="H21" s="9" t="n">
        <f aca="false">IFERROR(INDEX(Company_Financials!$D:$D,MATCH(G21,Company_Financials!$A:$A,0)),"n/a")</f>
        <v>68</v>
      </c>
      <c r="I21" s="7" t="s">
        <v>484</v>
      </c>
      <c r="J21" s="9" t="n">
        <f aca="false">IFERROR(INDEX(Restaurant_Market!$D:$D,MATCH(I21,Restaurant_Market!$A:$A,0)),"n/a")</f>
        <v>7</v>
      </c>
      <c r="K21" s="18" t="n">
        <f aca="false">IFERROR((F21/H21-1)*100-J21,"n/a")</f>
        <v>25.3529411764706</v>
      </c>
      <c r="L21" s="7" t="s">
        <v>1101</v>
      </c>
      <c r="M21" s="15" t="s">
        <v>644</v>
      </c>
      <c r="N21" s="8" t="s">
        <v>1185</v>
      </c>
      <c r="O21" s="8" t="s">
        <v>1186</v>
      </c>
      <c r="P21" s="8" t="s">
        <v>1187</v>
      </c>
    </row>
    <row r="22" customFormat="false" ht="61.5" hidden="false" customHeight="true" outlineLevel="0" collapsed="false">
      <c r="A22" s="7" t="s">
        <v>1188</v>
      </c>
      <c r="B22" s="8" t="s">
        <v>1189</v>
      </c>
      <c r="C22" s="7" t="s">
        <v>237</v>
      </c>
      <c r="D22" s="8" t="s">
        <v>1190</v>
      </c>
      <c r="E22" s="7" t="s">
        <v>241</v>
      </c>
      <c r="F22" s="9" t="n">
        <f aca="false">IFERROR(INDEX(Company_Financials!$D:$D,MATCH(E22,Company_Financials!$A:$A,0)),"n/a")</f>
        <v>75</v>
      </c>
      <c r="G22" s="7" t="s">
        <v>230</v>
      </c>
      <c r="H22" s="9" t="n">
        <f aca="false">IFERROR(INDEX(Company_Financials!$D:$D,MATCH(G22,Company_Financials!$A:$A,0)),"n/a")</f>
        <v>68</v>
      </c>
      <c r="I22" s="7" t="s">
        <v>470</v>
      </c>
      <c r="J22" s="9" t="n">
        <f aca="false">IFERROR(INDEX(Restaurant_Market!$D:$D,MATCH(I22,Restaurant_Market!$A:$A,0)),"n/a")</f>
        <v>12</v>
      </c>
      <c r="K22" s="18" t="n">
        <f aca="false">IFERROR((F22/H22-1)*100-J22,"n/a")</f>
        <v>-1.70588235294117</v>
      </c>
      <c r="L22" s="7" t="s">
        <v>1101</v>
      </c>
      <c r="M22" s="15" t="s">
        <v>644</v>
      </c>
      <c r="N22" s="8" t="s">
        <v>1191</v>
      </c>
      <c r="O22" s="8" t="s">
        <v>1192</v>
      </c>
      <c r="P22" s="8" t="s">
        <v>1086</v>
      </c>
    </row>
    <row r="23" customFormat="false" ht="61.5" hidden="false" customHeight="true" outlineLevel="0" collapsed="false">
      <c r="A23" s="7" t="s">
        <v>1193</v>
      </c>
      <c r="B23" s="8" t="s">
        <v>1194</v>
      </c>
      <c r="C23" s="7" t="s">
        <v>237</v>
      </c>
      <c r="D23" s="8" t="s">
        <v>1195</v>
      </c>
      <c r="E23" s="7" t="s">
        <v>241</v>
      </c>
      <c r="F23" s="9" t="n">
        <f aca="false">IFERROR(INDEX(Company_Financials!$D:$D,MATCH(E23,Company_Financials!$A:$A,0)),"n/a")</f>
        <v>75</v>
      </c>
      <c r="G23" s="7" t="s">
        <v>230</v>
      </c>
      <c r="H23" s="9" t="n">
        <f aca="false">IFERROR(INDEX(Company_Financials!$D:$D,MATCH(G23,Company_Financials!$A:$A,0)),"n/a")</f>
        <v>68</v>
      </c>
      <c r="I23" s="7" t="s">
        <v>695</v>
      </c>
      <c r="J23" s="9" t="n">
        <f aca="false">IFERROR(INDEX(Macroeconomic_Context!$D:$D,MATCH(I23,Macroeconomic_Context!$A:$A,0)),"n/a")</f>
        <v>7.3</v>
      </c>
      <c r="K23" s="17" t="n">
        <f aca="false">IFERROR(((F23/H23)/(1+J23/100)-1),"n/a")</f>
        <v>0.0279041719203992</v>
      </c>
      <c r="L23" s="7" t="s">
        <v>127</v>
      </c>
      <c r="M23" s="15" t="s">
        <v>644</v>
      </c>
      <c r="N23" s="8" t="s">
        <v>1196</v>
      </c>
      <c r="O23" s="8" t="s">
        <v>1197</v>
      </c>
      <c r="P23" s="8" t="s">
        <v>1086</v>
      </c>
    </row>
    <row r="24" customFormat="false" ht="61.5" hidden="false" customHeight="true" outlineLevel="0" collapsed="false">
      <c r="A24" s="7" t="s">
        <v>1198</v>
      </c>
      <c r="B24" s="8" t="s">
        <v>1199</v>
      </c>
      <c r="C24" s="7" t="s">
        <v>237</v>
      </c>
      <c r="D24" s="8" t="s">
        <v>1200</v>
      </c>
      <c r="E24" s="7" t="s">
        <v>241</v>
      </c>
      <c r="F24" s="9" t="n">
        <f aca="false">IFERROR(INDEX(Company_Financials!$D:$D,MATCH(E24,Company_Financials!$A:$A,0)),"n/a")</f>
        <v>75</v>
      </c>
      <c r="G24" s="7" t="s">
        <v>230</v>
      </c>
      <c r="H24" s="9" t="n">
        <f aca="false">IFERROR(INDEX(Company_Financials!$D:$D,MATCH(G24,Company_Financials!$A:$A,0)),"n/a")</f>
        <v>68</v>
      </c>
      <c r="I24" s="7" t="s">
        <v>695</v>
      </c>
      <c r="J24" s="9" t="n">
        <f aca="false">IFERROR(INDEX(Macroeconomic_Context!$D:$D,MATCH(I24,Macroeconomic_Context!$A:$A,0)),"n/a")</f>
        <v>7.3</v>
      </c>
      <c r="K24" s="18" t="n">
        <f aca="false">IFERROR((((F24/H24)/(1+J24/100)-1)*100)-(R24-100),"n/a")</f>
        <v>4.69041719203992</v>
      </c>
      <c r="L24" s="7" t="s">
        <v>1101</v>
      </c>
      <c r="M24" s="15" t="s">
        <v>644</v>
      </c>
      <c r="N24" s="8" t="s">
        <v>1201</v>
      </c>
      <c r="O24" s="8" t="s">
        <v>1202</v>
      </c>
      <c r="P24" s="8" t="s">
        <v>1086</v>
      </c>
      <c r="Q24" s="19" t="s">
        <v>548</v>
      </c>
      <c r="R24" s="20" t="n">
        <f aca="false">IFERROR(INDEX(Restaurant_Market!$D:$D,MATCH(Q24,Restaurant_Market!$A:$A,0)),"n/a")</f>
        <v>98.1</v>
      </c>
    </row>
    <row r="25" customFormat="false" ht="61.5" hidden="false" customHeight="true" outlineLevel="0" collapsed="false">
      <c r="A25" s="7" t="s">
        <v>1203</v>
      </c>
      <c r="B25" s="8" t="s">
        <v>1204</v>
      </c>
      <c r="C25" s="7" t="s">
        <v>204</v>
      </c>
      <c r="D25" s="8" t="s">
        <v>1205</v>
      </c>
      <c r="E25" s="7" t="s">
        <v>227</v>
      </c>
      <c r="F25" s="9" t="n">
        <f aca="false">IFERROR(INDEX(Company_Financials!$D:$D,MATCH(E25,Company_Financials!$A:$A,0)),"n/a")</f>
        <v>339</v>
      </c>
      <c r="G25" s="7" t="s">
        <v>178</v>
      </c>
      <c r="H25" s="9" t="n">
        <f aca="false">IFERROR(INDEX(Company_Financials!$D:$D,MATCH(G25,Company_Financials!$A:$A,0)),"n/a")</f>
        <v>280</v>
      </c>
      <c r="I25" s="7" t="s">
        <v>689</v>
      </c>
      <c r="J25" s="9" t="n">
        <f aca="false">IFERROR(INDEX(Macroeconomic_Context!$D:$D,MATCH(I25,Macroeconomic_Context!$A:$A,0)),"n/a")</f>
        <v>5.6</v>
      </c>
      <c r="K25" s="18" t="n">
        <f aca="false">IFERROR((((F25/H25)/(1+J25/100)-1)*100)-R25,"n/a")</f>
        <v>16.250974025974</v>
      </c>
      <c r="L25" s="7" t="s">
        <v>1101</v>
      </c>
      <c r="M25" s="15" t="s">
        <v>644</v>
      </c>
      <c r="N25" s="8" t="s">
        <v>1206</v>
      </c>
      <c r="O25" s="8" t="s">
        <v>1207</v>
      </c>
      <c r="P25" s="8" t="s">
        <v>1086</v>
      </c>
      <c r="Q25" s="19" t="s">
        <v>535</v>
      </c>
      <c r="R25" s="20" t="n">
        <f aca="false">IFERROR(INDEX(Restaurant_Market!$D:$D,MATCH(Q25,Restaurant_Market!$A:$A,0)),"n/a")</f>
        <v>-1.6</v>
      </c>
    </row>
    <row r="26" customFormat="false" ht="61.5" hidden="false" customHeight="true" outlineLevel="0" collapsed="false">
      <c r="A26" s="7" t="s">
        <v>1208</v>
      </c>
      <c r="B26" s="8" t="s">
        <v>1209</v>
      </c>
      <c r="C26" s="7" t="s">
        <v>237</v>
      </c>
      <c r="D26" s="8" t="s">
        <v>1210</v>
      </c>
      <c r="E26" s="7" t="s">
        <v>241</v>
      </c>
      <c r="F26" s="9" t="n">
        <f aca="false">IFERROR(INDEX(Company_Financials!$D:$D,MATCH(E26,Company_Financials!$A:$A,0)),"n/a")</f>
        <v>75</v>
      </c>
      <c r="G26" s="7" t="s">
        <v>755</v>
      </c>
      <c r="H26" s="9" t="n">
        <f aca="false">IFERROR(INDEX(Macroeconomic_Context!$D:$D,MATCH(G26,Macroeconomic_Context!$A:$A,0)),"n/a")</f>
        <v>5.0415</v>
      </c>
      <c r="I26" s="7" t="s">
        <v>474</v>
      </c>
      <c r="J26" s="9" t="n">
        <f aca="false">IFERROR(INDEX(Restaurant_Market!$D:$D,MATCH(I26,Restaurant_Market!$A:$A,0)),"n/a")</f>
        <v>32</v>
      </c>
      <c r="K26" s="21" t="n">
        <f aca="false">IFERROR((F26*H26)/(J26*1000),"n/a")</f>
        <v>0.011816015625</v>
      </c>
      <c r="L26" s="7" t="s">
        <v>127</v>
      </c>
      <c r="M26" s="13" t="s">
        <v>193</v>
      </c>
      <c r="N26" s="8" t="s">
        <v>1211</v>
      </c>
      <c r="O26" s="8" t="s">
        <v>1212</v>
      </c>
      <c r="P26" s="8" t="s">
        <v>1213</v>
      </c>
    </row>
    <row r="27" customFormat="false" ht="61.5" hidden="false" customHeight="true" outlineLevel="0" collapsed="false">
      <c r="A27" s="7" t="s">
        <v>1214</v>
      </c>
      <c r="B27" s="8" t="s">
        <v>1215</v>
      </c>
      <c r="C27" s="7" t="s">
        <v>204</v>
      </c>
      <c r="D27" s="8" t="s">
        <v>1216</v>
      </c>
      <c r="E27" s="7" t="s">
        <v>227</v>
      </c>
      <c r="F27" s="9" t="n">
        <f aca="false">IFERROR(INDEX(Company_Financials!$D:$D,MATCH(E27,Company_Financials!$A:$A,0)),"n/a")</f>
        <v>339</v>
      </c>
      <c r="G27" s="7" t="s">
        <v>474</v>
      </c>
      <c r="H27" s="9" t="n">
        <f aca="false">IFERROR(INDEX(Restaurant_Market!$D:$D,MATCH(G27,Restaurant_Market!$A:$A,0)),"n/a")</f>
        <v>32</v>
      </c>
      <c r="I27" s="7" t="s">
        <v>484</v>
      </c>
      <c r="J27" s="9" t="n">
        <f aca="false">IFERROR(INDEX(Restaurant_Market!$D:$D,MATCH(I27,Restaurant_Market!$A:$A,0)),"n/a")</f>
        <v>7</v>
      </c>
      <c r="K27" s="21" t="n">
        <f aca="false">IFERROR(F27/((H27*1000)/(1+J27/100)),"n/a")</f>
        <v>0.0113353125</v>
      </c>
      <c r="L27" s="7" t="s">
        <v>127</v>
      </c>
      <c r="M27" s="13" t="s">
        <v>193</v>
      </c>
      <c r="N27" s="8" t="s">
        <v>1217</v>
      </c>
      <c r="O27" s="8" t="s">
        <v>1218</v>
      </c>
      <c r="P27" s="8" t="s">
        <v>1219</v>
      </c>
    </row>
    <row r="28" customFormat="false" ht="61.5" hidden="false" customHeight="true" outlineLevel="0" collapsed="false">
      <c r="A28" s="7" t="s">
        <v>1220</v>
      </c>
      <c r="B28" s="8" t="s">
        <v>1221</v>
      </c>
      <c r="C28" s="7" t="s">
        <v>1222</v>
      </c>
      <c r="D28" s="8" t="s">
        <v>1223</v>
      </c>
      <c r="E28" s="7" t="s">
        <v>419</v>
      </c>
      <c r="F28" s="9" t="n">
        <f aca="false">IFERROR(INDEX(Company_Financials!$D:$D,MATCH(E28,Company_Financials!$A:$A,0)),"n/a")</f>
        <v>6.5</v>
      </c>
      <c r="G28" s="7" t="s">
        <v>407</v>
      </c>
      <c r="H28" s="9" t="n">
        <f aca="false">IFERROR(INDEX(Company_Financials!$D:$D,MATCH(G28,Company_Financials!$A:$A,0)),"n/a")</f>
        <v>3</v>
      </c>
      <c r="I28" s="7"/>
      <c r="J28" s="7"/>
      <c r="K28" s="17" t="n">
        <f aca="false">IFERROR(F28/H28-1,"n/a")</f>
        <v>1.16666666666667</v>
      </c>
      <c r="L28" s="7" t="s">
        <v>127</v>
      </c>
      <c r="M28" s="15" t="s">
        <v>644</v>
      </c>
      <c r="N28" s="8" t="s">
        <v>1224</v>
      </c>
      <c r="O28" s="8" t="s">
        <v>1225</v>
      </c>
      <c r="P28" s="8" t="s">
        <v>1226</v>
      </c>
    </row>
    <row r="29" customFormat="false" ht="61.5" hidden="false" customHeight="true" outlineLevel="0" collapsed="false">
      <c r="A29" s="7" t="s">
        <v>1227</v>
      </c>
      <c r="B29" s="8" t="s">
        <v>1228</v>
      </c>
      <c r="C29" s="7" t="s">
        <v>237</v>
      </c>
      <c r="D29" s="8" t="s">
        <v>1229</v>
      </c>
      <c r="E29" s="7" t="s">
        <v>407</v>
      </c>
      <c r="F29" s="9" t="n">
        <f aca="false">IFERROR(INDEX(Company_Financials!$D:$D,MATCH(E29,Company_Financials!$A:$A,0)),"n/a")</f>
        <v>3</v>
      </c>
      <c r="G29" s="7" t="s">
        <v>235</v>
      </c>
      <c r="H29" s="9" t="n">
        <f aca="false">IFERROR(INDEX(Company_Financials!$D:$D,MATCH(G29,Company_Financials!$A:$A,0)),"n/a")</f>
        <v>90</v>
      </c>
      <c r="I29" s="7"/>
      <c r="J29" s="7"/>
      <c r="K29" s="17" t="n">
        <f aca="false">IFERROR(F29/H29,"n/a")</f>
        <v>0.0333333333333333</v>
      </c>
      <c r="L29" s="7" t="s">
        <v>127</v>
      </c>
      <c r="M29" s="15" t="s">
        <v>644</v>
      </c>
      <c r="N29" s="8" t="s">
        <v>1230</v>
      </c>
      <c r="O29" s="8" t="s">
        <v>1231</v>
      </c>
      <c r="P29" s="8" t="s">
        <v>1086</v>
      </c>
    </row>
    <row r="30" customFormat="false" ht="61.5" hidden="false" customHeight="true" outlineLevel="0" collapsed="false">
      <c r="A30" s="7" t="s">
        <v>1232</v>
      </c>
      <c r="B30" s="8" t="s">
        <v>1233</v>
      </c>
      <c r="C30" s="7" t="s">
        <v>279</v>
      </c>
      <c r="D30" s="8" t="s">
        <v>1234</v>
      </c>
      <c r="E30" s="7" t="s">
        <v>419</v>
      </c>
      <c r="F30" s="9" t="n">
        <f aca="false">IFERROR(INDEX(Company_Financials!$D:$D,MATCH(E30,Company_Financials!$A:$A,0)),"n/a")</f>
        <v>6.5</v>
      </c>
      <c r="G30" s="7" t="s">
        <v>278</v>
      </c>
      <c r="H30" s="9" t="n">
        <f aca="false">IFERROR(INDEX(Company_Financials!$D:$D,MATCH(G30,Company_Financials!$A:$A,0)),"n/a")</f>
        <v>100</v>
      </c>
      <c r="I30" s="7"/>
      <c r="J30" s="7"/>
      <c r="K30" s="17" t="n">
        <f aca="false">IFERROR(F30/H30,"n/a")</f>
        <v>0.065</v>
      </c>
      <c r="L30" s="7" t="s">
        <v>127</v>
      </c>
      <c r="M30" s="15" t="s">
        <v>644</v>
      </c>
      <c r="N30" s="8" t="s">
        <v>1235</v>
      </c>
      <c r="O30" s="8" t="s">
        <v>1236</v>
      </c>
      <c r="P30" s="8" t="s">
        <v>1127</v>
      </c>
    </row>
    <row r="31" customFormat="false" ht="61.5" hidden="false" customHeight="true" outlineLevel="0" collapsed="false">
      <c r="A31" s="7" t="s">
        <v>1237</v>
      </c>
      <c r="B31" s="8" t="s">
        <v>1238</v>
      </c>
      <c r="C31" s="7" t="s">
        <v>1239</v>
      </c>
      <c r="D31" s="8" t="s">
        <v>1240</v>
      </c>
      <c r="E31" s="7" t="s">
        <v>230</v>
      </c>
      <c r="F31" s="9" t="n">
        <f aca="false">IFERROR(INDEX(Company_Financials!$D:$D,MATCH(E31,Company_Financials!$A:$A,0)),"n/a")</f>
        <v>68</v>
      </c>
      <c r="G31" s="7" t="s">
        <v>916</v>
      </c>
      <c r="H31" s="9" t="n">
        <f aca="false">IFERROR(INDEX(Operating_Indicators!$D:$D,MATCH(G31,Operating_Indicators!$A:$A,0)),"n/a")</f>
        <v>24</v>
      </c>
      <c r="I31" s="7"/>
      <c r="J31" s="7"/>
      <c r="K31" s="18" t="n">
        <f aca="false">IFERROR(F31/H31,"n/a")</f>
        <v>2.83333333333333</v>
      </c>
      <c r="L31" s="7" t="s">
        <v>1241</v>
      </c>
      <c r="M31" s="15" t="s">
        <v>644</v>
      </c>
      <c r="N31" s="8" t="s">
        <v>1242</v>
      </c>
      <c r="O31" s="8" t="s">
        <v>1243</v>
      </c>
      <c r="P31" s="8" t="s">
        <v>1127</v>
      </c>
    </row>
    <row r="32" customFormat="false" ht="61.5" hidden="false" customHeight="true" outlineLevel="0" collapsed="false">
      <c r="A32" s="7" t="s">
        <v>1244</v>
      </c>
      <c r="B32" s="8" t="s">
        <v>1245</v>
      </c>
      <c r="C32" s="7" t="s">
        <v>1246</v>
      </c>
      <c r="D32" s="8" t="s">
        <v>1247</v>
      </c>
      <c r="E32" s="7" t="s">
        <v>88</v>
      </c>
      <c r="F32" s="9" t="n">
        <f aca="false">IFERROR(INDEX(Company_Financials!$D:$D,MATCH(E32,Company_Financials!$A:$A,0)),"n/a")</f>
        <v>187</v>
      </c>
      <c r="G32" s="7" t="s">
        <v>857</v>
      </c>
      <c r="H32" s="9" t="n">
        <f aca="false">IFERROR(INDEX(Operating_Indicators!$D:$D,MATCH(G32,Operating_Indicators!$A:$A,0)),"n/a")</f>
        <v>18</v>
      </c>
      <c r="I32" s="7"/>
      <c r="J32" s="7"/>
      <c r="K32" s="18" t="n">
        <f aca="false">IFERROR(F32/H32,"n/a")</f>
        <v>10.3888888888889</v>
      </c>
      <c r="L32" s="7" t="s">
        <v>1248</v>
      </c>
      <c r="M32" s="15" t="s">
        <v>644</v>
      </c>
      <c r="N32" s="8" t="s">
        <v>1249</v>
      </c>
      <c r="O32" s="8" t="s">
        <v>1250</v>
      </c>
      <c r="P32" s="8" t="s">
        <v>1127</v>
      </c>
    </row>
    <row r="33" customFormat="false" ht="61.5" hidden="false" customHeight="true" outlineLevel="0" collapsed="false">
      <c r="A33" s="7" t="s">
        <v>1251</v>
      </c>
      <c r="B33" s="8" t="s">
        <v>1252</v>
      </c>
      <c r="C33" s="7" t="s">
        <v>167</v>
      </c>
      <c r="D33" s="8" t="s">
        <v>1253</v>
      </c>
      <c r="E33" s="7" t="s">
        <v>178</v>
      </c>
      <c r="F33" s="9" t="n">
        <f aca="false">IFERROR(INDEX(Company_Financials!$D:$D,MATCH(E33,Company_Financials!$A:$A,0)),"n/a")</f>
        <v>280</v>
      </c>
      <c r="G33" s="7" t="s">
        <v>186</v>
      </c>
      <c r="H33" s="9" t="n">
        <f aca="false">IFERROR(INDEX(Company_Financials!$D:$D,MATCH(G33,Company_Financials!$A:$A,0)),"n/a")</f>
        <v>56.5</v>
      </c>
      <c r="I33" s="7"/>
      <c r="J33" s="7"/>
      <c r="K33" s="18" t="n">
        <f aca="false">IFERROR(F33/H33,"n/a")</f>
        <v>4.95575221238938</v>
      </c>
      <c r="L33" s="7" t="s">
        <v>743</v>
      </c>
      <c r="M33" s="15" t="s">
        <v>644</v>
      </c>
      <c r="N33" s="8" t="s">
        <v>1254</v>
      </c>
      <c r="O33" s="8" t="s">
        <v>1255</v>
      </c>
      <c r="P33" s="8" t="s">
        <v>1162</v>
      </c>
    </row>
    <row r="34" customFormat="false" ht="61.5" hidden="false" customHeight="true" outlineLevel="0" collapsed="false">
      <c r="A34" s="7" t="s">
        <v>1256</v>
      </c>
      <c r="B34" s="8" t="s">
        <v>1257</v>
      </c>
      <c r="C34" s="7" t="s">
        <v>204</v>
      </c>
      <c r="D34" s="8" t="s">
        <v>1258</v>
      </c>
      <c r="E34" s="7" t="s">
        <v>227</v>
      </c>
      <c r="F34" s="9" t="n">
        <f aca="false">IFERROR(INDEX(Company_Financials!$D:$D,MATCH(E34,Company_Financials!$A:$A,0)),"n/a")</f>
        <v>339</v>
      </c>
      <c r="G34" s="7" t="s">
        <v>230</v>
      </c>
      <c r="H34" s="9" t="n">
        <f aca="false">IFERROR(INDEX(Company_Financials!$D:$D,MATCH(G34,Company_Financials!$A:$A,0)),"n/a")</f>
        <v>68</v>
      </c>
      <c r="I34" s="7"/>
      <c r="J34" s="7"/>
      <c r="K34" s="18" t="n">
        <f aca="false">IFERROR(F34/H34,"n/a")</f>
        <v>4.98529411764706</v>
      </c>
      <c r="L34" s="7" t="s">
        <v>743</v>
      </c>
      <c r="M34" s="15" t="s">
        <v>644</v>
      </c>
      <c r="N34" s="8" t="s">
        <v>1254</v>
      </c>
      <c r="O34" s="8" t="s">
        <v>1259</v>
      </c>
      <c r="P34" s="8" t="s">
        <v>1162</v>
      </c>
    </row>
    <row r="35" customFormat="false" ht="61.5" hidden="false" customHeight="true" outlineLevel="0" collapsed="false">
      <c r="A35" s="7" t="s">
        <v>1260</v>
      </c>
      <c r="B35" s="8" t="s">
        <v>1261</v>
      </c>
      <c r="C35" s="7" t="s">
        <v>340</v>
      </c>
      <c r="D35" s="8" t="s">
        <v>1262</v>
      </c>
      <c r="E35" s="7"/>
      <c r="F35" s="7"/>
      <c r="G35" s="7"/>
      <c r="H35" s="7"/>
      <c r="I35" s="7"/>
      <c r="J35" s="7"/>
      <c r="K35" s="22" t="s">
        <v>341</v>
      </c>
      <c r="L35" s="7" t="s">
        <v>127</v>
      </c>
      <c r="M35" s="14" t="s">
        <v>342</v>
      </c>
      <c r="N35" s="8" t="s">
        <v>1263</v>
      </c>
      <c r="O35" s="8" t="s">
        <v>1264</v>
      </c>
      <c r="P35" s="8" t="s">
        <v>1265</v>
      </c>
    </row>
    <row r="36" customFormat="false" ht="61.5" hidden="false" customHeight="true" outlineLevel="0" collapsed="false">
      <c r="A36" s="7" t="s">
        <v>1266</v>
      </c>
      <c r="B36" s="8" t="s">
        <v>1267</v>
      </c>
      <c r="C36" s="7" t="s">
        <v>340</v>
      </c>
      <c r="D36" s="8" t="s">
        <v>1268</v>
      </c>
      <c r="E36" s="7"/>
      <c r="F36" s="7"/>
      <c r="G36" s="7"/>
      <c r="H36" s="7"/>
      <c r="I36" s="7"/>
      <c r="J36" s="7"/>
      <c r="K36" s="22" t="s">
        <v>341</v>
      </c>
      <c r="L36" s="7" t="s">
        <v>127</v>
      </c>
      <c r="M36" s="14" t="s">
        <v>342</v>
      </c>
      <c r="N36" s="8" t="s">
        <v>1269</v>
      </c>
      <c r="O36" s="8" t="s">
        <v>1270</v>
      </c>
      <c r="P36" s="8" t="s">
        <v>1265</v>
      </c>
    </row>
  </sheetData>
  <autoFilter ref="A1:R3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60"/>
    <col collapsed="false" customWidth="true" hidden="false" outlineLevel="0" max="3" min="3" style="0" width="34"/>
    <col collapsed="false" customWidth="true" hidden="false" outlineLevel="0" max="4" min="4" style="0" width="60"/>
    <col collapsed="false" customWidth="true" hidden="false" outlineLevel="0" max="5" min="5" style="0" width="18"/>
    <col collapsed="false" customWidth="true" hidden="false" outlineLevel="0" max="6" min="6" style="0" width="12"/>
    <col collapsed="false" customWidth="true" hidden="false" outlineLevel="0" max="7" min="7" style="0" width="24"/>
    <col collapsed="false" customWidth="true" hidden="false" outlineLevel="0" max="8" min="8" style="0" width="70"/>
    <col collapsed="false" customWidth="true" hidden="false" outlineLevel="0" max="9" min="9" style="0" width="14"/>
  </cols>
  <sheetData>
    <row r="1" customFormat="false" ht="30" hidden="false" customHeight="true" outlineLevel="0" collapsed="false">
      <c r="A1" s="6" t="s">
        <v>57</v>
      </c>
      <c r="B1" s="6" t="s">
        <v>1271</v>
      </c>
      <c r="C1" s="6" t="s">
        <v>1272</v>
      </c>
      <c r="D1" s="6" t="s">
        <v>1273</v>
      </c>
      <c r="E1" s="6" t="s">
        <v>52</v>
      </c>
      <c r="F1" s="6" t="s">
        <v>53</v>
      </c>
      <c r="G1" s="6" t="s">
        <v>1274</v>
      </c>
      <c r="H1" s="6" t="s">
        <v>1275</v>
      </c>
      <c r="I1" s="6" t="s">
        <v>1276</v>
      </c>
    </row>
    <row r="2" customFormat="false" ht="23.85" hidden="false" customHeight="false" outlineLevel="0" collapsed="false">
      <c r="A2" s="7" t="s">
        <v>185</v>
      </c>
      <c r="B2" s="8" t="s">
        <v>180</v>
      </c>
      <c r="C2" s="8" t="s">
        <v>181</v>
      </c>
      <c r="D2" s="8" t="s">
        <v>179</v>
      </c>
      <c r="E2" s="7" t="s">
        <v>182</v>
      </c>
      <c r="F2" s="7" t="s">
        <v>71</v>
      </c>
      <c r="G2" s="8" t="s">
        <v>1277</v>
      </c>
      <c r="H2" s="8" t="s">
        <v>1278</v>
      </c>
      <c r="I2" s="7" t="n">
        <v>12</v>
      </c>
    </row>
    <row r="3" customFormat="false" ht="23.85" hidden="false" customHeight="false" outlineLevel="0" collapsed="false">
      <c r="A3" s="7" t="s">
        <v>412</v>
      </c>
      <c r="B3" s="8" t="s">
        <v>409</v>
      </c>
      <c r="C3" s="8" t="s">
        <v>403</v>
      </c>
      <c r="D3" s="8" t="s">
        <v>408</v>
      </c>
      <c r="E3" s="7" t="s">
        <v>197</v>
      </c>
      <c r="F3" s="7" t="s">
        <v>71</v>
      </c>
      <c r="G3" s="8" t="s">
        <v>1279</v>
      </c>
      <c r="H3" s="8" t="s">
        <v>1280</v>
      </c>
      <c r="I3" s="7" t="n">
        <v>5</v>
      </c>
    </row>
    <row r="4" customFormat="false" ht="35.05" hidden="false" customHeight="false" outlineLevel="0" collapsed="false">
      <c r="A4" s="7" t="s">
        <v>440</v>
      </c>
      <c r="B4" s="8" t="s">
        <v>436</v>
      </c>
      <c r="C4" s="8" t="s">
        <v>364</v>
      </c>
      <c r="D4" s="8" t="s">
        <v>435</v>
      </c>
      <c r="E4" s="7" t="s">
        <v>437</v>
      </c>
      <c r="F4" s="7" t="s">
        <v>71</v>
      </c>
      <c r="G4" s="8" t="s">
        <v>1279</v>
      </c>
      <c r="H4" s="8" t="s">
        <v>1281</v>
      </c>
      <c r="I4" s="7" t="n">
        <v>8</v>
      </c>
    </row>
    <row r="5" customFormat="false" ht="23.85" hidden="false" customHeight="false" outlineLevel="0" collapsed="false">
      <c r="A5" s="7" t="s">
        <v>312</v>
      </c>
      <c r="B5" s="8" t="s">
        <v>309</v>
      </c>
      <c r="C5" s="8" t="s">
        <v>97</v>
      </c>
      <c r="D5" s="8" t="s">
        <v>308</v>
      </c>
      <c r="E5" s="7" t="s">
        <v>310</v>
      </c>
      <c r="F5" s="7" t="s">
        <v>71</v>
      </c>
      <c r="G5" s="8" t="s">
        <v>1282</v>
      </c>
      <c r="H5" s="8" t="s">
        <v>1283</v>
      </c>
      <c r="I5" s="7" t="n">
        <v>6</v>
      </c>
    </row>
    <row r="6" customFormat="false" ht="15" hidden="false" customHeight="false" outlineLevel="0" collapsed="false">
      <c r="A6" s="7" t="s">
        <v>277</v>
      </c>
      <c r="B6" s="8" t="s">
        <v>273</v>
      </c>
      <c r="C6" s="8" t="s">
        <v>196</v>
      </c>
      <c r="D6" s="8" t="s">
        <v>272</v>
      </c>
      <c r="E6" s="7" t="s">
        <v>274</v>
      </c>
      <c r="F6" s="7" t="s">
        <v>71</v>
      </c>
      <c r="G6" s="8" t="s">
        <v>1284</v>
      </c>
      <c r="H6" s="8" t="s">
        <v>1285</v>
      </c>
      <c r="I6" s="7" t="n">
        <v>6</v>
      </c>
    </row>
    <row r="7" customFormat="false" ht="23.85" hidden="false" customHeight="false" outlineLevel="0" collapsed="false">
      <c r="A7" s="7" t="s">
        <v>291</v>
      </c>
      <c r="B7" s="8" t="s">
        <v>286</v>
      </c>
      <c r="C7" s="8" t="s">
        <v>287</v>
      </c>
      <c r="D7" s="8" t="s">
        <v>285</v>
      </c>
      <c r="E7" s="7" t="s">
        <v>288</v>
      </c>
      <c r="F7" s="7" t="s">
        <v>71</v>
      </c>
      <c r="G7" s="8" t="s">
        <v>1284</v>
      </c>
      <c r="H7" s="8" t="s">
        <v>1286</v>
      </c>
      <c r="I7" s="7" t="n">
        <v>1</v>
      </c>
    </row>
    <row r="8" customFormat="false" ht="35.05" hidden="false" customHeight="false" outlineLevel="0" collapsed="false">
      <c r="A8" s="7" t="s">
        <v>266</v>
      </c>
      <c r="B8" s="8" t="s">
        <v>261</v>
      </c>
      <c r="C8" s="8" t="s">
        <v>262</v>
      </c>
      <c r="D8" s="8" t="s">
        <v>260</v>
      </c>
      <c r="E8" s="7" t="s">
        <v>263</v>
      </c>
      <c r="F8" s="7" t="s">
        <v>71</v>
      </c>
      <c r="G8" s="8" t="s">
        <v>1279</v>
      </c>
      <c r="H8" s="8" t="s">
        <v>1287</v>
      </c>
      <c r="I8" s="7" t="n">
        <v>2</v>
      </c>
    </row>
    <row r="9" customFormat="false" ht="23.85" hidden="false" customHeight="false" outlineLevel="0" collapsed="false">
      <c r="A9" s="7" t="s">
        <v>124</v>
      </c>
      <c r="B9" s="8" t="s">
        <v>119</v>
      </c>
      <c r="C9" s="8" t="s">
        <v>120</v>
      </c>
      <c r="D9" s="8" t="s">
        <v>118</v>
      </c>
      <c r="E9" s="7" t="s">
        <v>121</v>
      </c>
      <c r="F9" s="7" t="s">
        <v>71</v>
      </c>
      <c r="G9" s="8" t="s">
        <v>1288</v>
      </c>
      <c r="H9" s="8" t="s">
        <v>1289</v>
      </c>
      <c r="I9" s="7" t="n">
        <v>8</v>
      </c>
    </row>
    <row r="10" customFormat="false" ht="23.85" hidden="false" customHeight="false" outlineLevel="0" collapsed="false">
      <c r="A10" s="7" t="s">
        <v>177</v>
      </c>
      <c r="B10" s="8" t="s">
        <v>172</v>
      </c>
      <c r="C10" s="8" t="s">
        <v>173</v>
      </c>
      <c r="D10" s="8" t="s">
        <v>171</v>
      </c>
      <c r="E10" s="7" t="s">
        <v>174</v>
      </c>
      <c r="F10" s="7" t="s">
        <v>71</v>
      </c>
      <c r="G10" s="8" t="s">
        <v>1290</v>
      </c>
      <c r="H10" s="8" t="s">
        <v>1291</v>
      </c>
      <c r="I10" s="7" t="n">
        <v>10</v>
      </c>
    </row>
    <row r="11" customFormat="false" ht="23.85" hidden="false" customHeight="false" outlineLevel="0" collapsed="false">
      <c r="A11" s="7" t="s">
        <v>225</v>
      </c>
      <c r="B11" s="8" t="s">
        <v>222</v>
      </c>
      <c r="C11" s="8" t="s">
        <v>173</v>
      </c>
      <c r="D11" s="8" t="s">
        <v>221</v>
      </c>
      <c r="E11" s="7" t="s">
        <v>223</v>
      </c>
      <c r="F11" s="7" t="s">
        <v>71</v>
      </c>
      <c r="G11" s="8" t="s">
        <v>1279</v>
      </c>
      <c r="H11" s="8" t="s">
        <v>1292</v>
      </c>
      <c r="I11" s="7" t="n">
        <v>5</v>
      </c>
    </row>
    <row r="12" customFormat="false" ht="23.85" hidden="false" customHeight="false" outlineLevel="0" collapsed="false">
      <c r="A12" s="7" t="s">
        <v>87</v>
      </c>
      <c r="B12" s="8" t="s">
        <v>82</v>
      </c>
      <c r="C12" s="8" t="s">
        <v>83</v>
      </c>
      <c r="D12" s="8" t="s">
        <v>81</v>
      </c>
      <c r="E12" s="7" t="s">
        <v>84</v>
      </c>
      <c r="F12" s="7" t="s">
        <v>71</v>
      </c>
      <c r="G12" s="8" t="s">
        <v>1279</v>
      </c>
      <c r="H12" s="8" t="s">
        <v>1293</v>
      </c>
      <c r="I12" s="7" t="n">
        <v>4</v>
      </c>
    </row>
    <row r="13" customFormat="false" ht="23.85" hidden="false" customHeight="false" outlineLevel="0" collapsed="false">
      <c r="A13" s="7" t="s">
        <v>75</v>
      </c>
      <c r="B13" s="8" t="s">
        <v>68</v>
      </c>
      <c r="C13" s="8" t="s">
        <v>69</v>
      </c>
      <c r="D13" s="8" t="s">
        <v>67</v>
      </c>
      <c r="E13" s="7" t="s">
        <v>70</v>
      </c>
      <c r="F13" s="7" t="s">
        <v>71</v>
      </c>
      <c r="G13" s="8" t="s">
        <v>1279</v>
      </c>
      <c r="H13" s="8" t="s">
        <v>1294</v>
      </c>
      <c r="I13" s="7" t="n">
        <v>2</v>
      </c>
    </row>
    <row r="14" customFormat="false" ht="23.85" hidden="false" customHeight="false" outlineLevel="0" collapsed="false">
      <c r="A14" s="7" t="s">
        <v>111</v>
      </c>
      <c r="B14" s="8" t="s">
        <v>107</v>
      </c>
      <c r="C14" s="8" t="s">
        <v>108</v>
      </c>
      <c r="D14" s="8" t="s">
        <v>106</v>
      </c>
      <c r="E14" s="7" t="s">
        <v>109</v>
      </c>
      <c r="F14" s="7" t="s">
        <v>71</v>
      </c>
      <c r="G14" s="8" t="s">
        <v>1279</v>
      </c>
      <c r="H14" s="8" t="s">
        <v>1295</v>
      </c>
      <c r="I14" s="7" t="n">
        <v>5</v>
      </c>
    </row>
    <row r="15" customFormat="false" ht="35.05" hidden="false" customHeight="false" outlineLevel="0" collapsed="false">
      <c r="A15" s="7" t="s">
        <v>102</v>
      </c>
      <c r="B15" s="8" t="s">
        <v>96</v>
      </c>
      <c r="C15" s="8" t="s">
        <v>97</v>
      </c>
      <c r="D15" s="8" t="s">
        <v>95</v>
      </c>
      <c r="E15" s="7" t="s">
        <v>98</v>
      </c>
      <c r="F15" s="7" t="s">
        <v>71</v>
      </c>
      <c r="G15" s="8" t="s">
        <v>1279</v>
      </c>
      <c r="H15" s="8" t="s">
        <v>1296</v>
      </c>
      <c r="I15" s="7" t="n">
        <v>4</v>
      </c>
    </row>
    <row r="16" customFormat="false" ht="23.85" hidden="false" customHeight="false" outlineLevel="0" collapsed="false">
      <c r="A16" s="7" t="s">
        <v>153</v>
      </c>
      <c r="B16" s="8" t="s">
        <v>148</v>
      </c>
      <c r="C16" s="8" t="s">
        <v>149</v>
      </c>
      <c r="D16" s="8" t="s">
        <v>147</v>
      </c>
      <c r="E16" s="7" t="s">
        <v>150</v>
      </c>
      <c r="F16" s="7" t="s">
        <v>71</v>
      </c>
      <c r="G16" s="8" t="s">
        <v>1297</v>
      </c>
      <c r="H16" s="8" t="s">
        <v>1298</v>
      </c>
      <c r="I16" s="7" t="n">
        <v>6</v>
      </c>
    </row>
    <row r="17" customFormat="false" ht="23.85" hidden="false" customHeight="false" outlineLevel="0" collapsed="false">
      <c r="A17" s="7" t="s">
        <v>454</v>
      </c>
      <c r="B17" s="8" t="s">
        <v>452</v>
      </c>
      <c r="C17" s="8" t="s">
        <v>149</v>
      </c>
      <c r="D17" s="8" t="s">
        <v>451</v>
      </c>
      <c r="E17" s="7" t="s">
        <v>453</v>
      </c>
      <c r="F17" s="7" t="s">
        <v>71</v>
      </c>
      <c r="G17" s="8" t="s">
        <v>1284</v>
      </c>
      <c r="H17" s="8" t="s">
        <v>1299</v>
      </c>
      <c r="I17" s="7" t="n">
        <v>2</v>
      </c>
    </row>
    <row r="18" customFormat="false" ht="23.85" hidden="false" customHeight="false" outlineLevel="0" collapsed="false">
      <c r="A18" s="7" t="s">
        <v>323</v>
      </c>
      <c r="B18" s="8" t="s">
        <v>318</v>
      </c>
      <c r="C18" s="8" t="s">
        <v>319</v>
      </c>
      <c r="D18" s="8" t="s">
        <v>317</v>
      </c>
      <c r="E18" s="7" t="s">
        <v>320</v>
      </c>
      <c r="F18" s="7" t="s">
        <v>71</v>
      </c>
      <c r="G18" s="8" t="s">
        <v>1300</v>
      </c>
      <c r="H18" s="8" t="s">
        <v>1301</v>
      </c>
      <c r="I18" s="7" t="n">
        <v>4</v>
      </c>
    </row>
    <row r="19" customFormat="false" ht="23.85" hidden="false" customHeight="false" outlineLevel="0" collapsed="false">
      <c r="A19" s="7" t="s">
        <v>337</v>
      </c>
      <c r="B19" s="8" t="s">
        <v>332</v>
      </c>
      <c r="C19" s="8" t="s">
        <v>333</v>
      </c>
      <c r="D19" s="8" t="s">
        <v>331</v>
      </c>
      <c r="E19" s="7" t="s">
        <v>334</v>
      </c>
      <c r="F19" s="7" t="s">
        <v>71</v>
      </c>
      <c r="G19" s="8" t="s">
        <v>1302</v>
      </c>
      <c r="H19" s="8" t="s">
        <v>1303</v>
      </c>
      <c r="I19" s="7" t="n">
        <v>1</v>
      </c>
    </row>
    <row r="20" customFormat="false" ht="35.05" hidden="false" customHeight="false" outlineLevel="0" collapsed="false">
      <c r="A20" s="7" t="s">
        <v>483</v>
      </c>
      <c r="B20" s="8" t="s">
        <v>479</v>
      </c>
      <c r="C20" s="8" t="s">
        <v>480</v>
      </c>
      <c r="D20" s="8" t="s">
        <v>478</v>
      </c>
      <c r="E20" s="7" t="s">
        <v>463</v>
      </c>
      <c r="F20" s="7" t="s">
        <v>71</v>
      </c>
      <c r="G20" s="8" t="s">
        <v>1304</v>
      </c>
      <c r="H20" s="8" t="s">
        <v>1305</v>
      </c>
      <c r="I20" s="7" t="n">
        <v>3</v>
      </c>
    </row>
    <row r="21" customFormat="false" ht="35.05" hidden="false" customHeight="false" outlineLevel="0" collapsed="false">
      <c r="A21" s="7" t="s">
        <v>466</v>
      </c>
      <c r="B21" s="8" t="s">
        <v>461</v>
      </c>
      <c r="C21" s="8" t="s">
        <v>462</v>
      </c>
      <c r="D21" s="8" t="s">
        <v>460</v>
      </c>
      <c r="E21" s="7" t="s">
        <v>463</v>
      </c>
      <c r="F21" s="7" t="s">
        <v>71</v>
      </c>
      <c r="G21" s="8" t="s">
        <v>1284</v>
      </c>
      <c r="H21" s="8" t="s">
        <v>1306</v>
      </c>
      <c r="I21" s="7" t="n">
        <v>10</v>
      </c>
    </row>
    <row r="22" customFormat="false" ht="23.85" hidden="false" customHeight="false" outlineLevel="0" collapsed="false">
      <c r="A22" s="7" t="s">
        <v>510</v>
      </c>
      <c r="B22" s="8" t="s">
        <v>507</v>
      </c>
      <c r="C22" s="8" t="s">
        <v>508</v>
      </c>
      <c r="D22" s="8" t="s">
        <v>506</v>
      </c>
      <c r="E22" s="7" t="s">
        <v>463</v>
      </c>
      <c r="F22" s="7" t="s">
        <v>71</v>
      </c>
      <c r="G22" s="8" t="s">
        <v>1284</v>
      </c>
      <c r="H22" s="8" t="s">
        <v>1307</v>
      </c>
      <c r="I22" s="7" t="n">
        <v>1</v>
      </c>
    </row>
    <row r="23" customFormat="false" ht="23.85" hidden="false" customHeight="false" outlineLevel="0" collapsed="false">
      <c r="A23" s="7" t="s">
        <v>522</v>
      </c>
      <c r="B23" s="8" t="s">
        <v>518</v>
      </c>
      <c r="C23" s="8" t="s">
        <v>519</v>
      </c>
      <c r="D23" s="8" t="s">
        <v>517</v>
      </c>
      <c r="E23" s="7" t="s">
        <v>429</v>
      </c>
      <c r="F23" s="7" t="s">
        <v>71</v>
      </c>
      <c r="G23" s="8" t="s">
        <v>1284</v>
      </c>
      <c r="H23" s="8" t="s">
        <v>1308</v>
      </c>
      <c r="I23" s="7" t="n">
        <v>4</v>
      </c>
    </row>
    <row r="24" customFormat="false" ht="35.05" hidden="false" customHeight="false" outlineLevel="0" collapsed="false">
      <c r="A24" s="7" t="s">
        <v>547</v>
      </c>
      <c r="B24" s="8" t="s">
        <v>542</v>
      </c>
      <c r="C24" s="8" t="s">
        <v>543</v>
      </c>
      <c r="D24" s="8" t="s">
        <v>541</v>
      </c>
      <c r="E24" s="7" t="s">
        <v>544</v>
      </c>
      <c r="F24" s="7" t="s">
        <v>71</v>
      </c>
      <c r="G24" s="8" t="s">
        <v>1309</v>
      </c>
      <c r="H24" s="8" t="s">
        <v>1310</v>
      </c>
      <c r="I24" s="7" t="n">
        <v>2</v>
      </c>
    </row>
    <row r="25" customFormat="false" ht="23.85" hidden="false" customHeight="false" outlineLevel="0" collapsed="false">
      <c r="A25" s="7" t="s">
        <v>558</v>
      </c>
      <c r="B25" s="8" t="s">
        <v>554</v>
      </c>
      <c r="C25" s="8" t="s">
        <v>555</v>
      </c>
      <c r="D25" s="8" t="s">
        <v>553</v>
      </c>
      <c r="E25" s="7" t="s">
        <v>556</v>
      </c>
      <c r="F25" s="7" t="s">
        <v>71</v>
      </c>
      <c r="G25" s="8" t="s">
        <v>1309</v>
      </c>
      <c r="H25" s="8" t="s">
        <v>1311</v>
      </c>
      <c r="I25" s="7" t="n">
        <v>2</v>
      </c>
    </row>
    <row r="26" customFormat="false" ht="23.85" hidden="false" customHeight="false" outlineLevel="0" collapsed="false">
      <c r="A26" s="7" t="s">
        <v>565</v>
      </c>
      <c r="B26" s="8" t="s">
        <v>562</v>
      </c>
      <c r="C26" s="8" t="s">
        <v>563</v>
      </c>
      <c r="D26" s="8" t="s">
        <v>561</v>
      </c>
      <c r="E26" s="7" t="s">
        <v>463</v>
      </c>
      <c r="F26" s="7" t="s">
        <v>71</v>
      </c>
      <c r="G26" s="8" t="s">
        <v>1309</v>
      </c>
      <c r="H26" s="8" t="s">
        <v>1312</v>
      </c>
      <c r="I26" s="7" t="n">
        <v>5</v>
      </c>
    </row>
    <row r="27" customFormat="false" ht="23.85" hidden="false" customHeight="false" outlineLevel="0" collapsed="false">
      <c r="A27" s="7" t="s">
        <v>694</v>
      </c>
      <c r="B27" s="8" t="s">
        <v>691</v>
      </c>
      <c r="C27" s="8" t="s">
        <v>692</v>
      </c>
      <c r="D27" s="8" t="s">
        <v>690</v>
      </c>
      <c r="E27" s="7" t="s">
        <v>693</v>
      </c>
      <c r="F27" s="7" t="s">
        <v>71</v>
      </c>
      <c r="G27" s="8" t="s">
        <v>1309</v>
      </c>
      <c r="H27" s="8" t="s">
        <v>1313</v>
      </c>
      <c r="I27" s="7" t="n">
        <v>5</v>
      </c>
    </row>
    <row r="28" customFormat="false" ht="23.85" hidden="false" customHeight="false" outlineLevel="0" collapsed="false">
      <c r="A28" s="7" t="s">
        <v>707</v>
      </c>
      <c r="B28" s="8" t="s">
        <v>704</v>
      </c>
      <c r="C28" s="8" t="s">
        <v>705</v>
      </c>
      <c r="D28" s="8" t="s">
        <v>703</v>
      </c>
      <c r="E28" s="7" t="s">
        <v>706</v>
      </c>
      <c r="F28" s="7" t="s">
        <v>71</v>
      </c>
      <c r="G28" s="8" t="s">
        <v>1309</v>
      </c>
      <c r="H28" s="8" t="s">
        <v>1314</v>
      </c>
      <c r="I28" s="7" t="n">
        <v>3</v>
      </c>
    </row>
    <row r="29" customFormat="false" ht="23.85" hidden="false" customHeight="false" outlineLevel="0" collapsed="false">
      <c r="A29" s="7" t="s">
        <v>715</v>
      </c>
      <c r="B29" s="8" t="s">
        <v>711</v>
      </c>
      <c r="C29" s="8" t="s">
        <v>712</v>
      </c>
      <c r="D29" s="8" t="s">
        <v>710</v>
      </c>
      <c r="E29" s="7" t="s">
        <v>713</v>
      </c>
      <c r="F29" s="7" t="s">
        <v>71</v>
      </c>
      <c r="G29" s="8" t="s">
        <v>1284</v>
      </c>
      <c r="H29" s="8" t="s">
        <v>1315</v>
      </c>
      <c r="I29" s="7" t="n">
        <v>2</v>
      </c>
    </row>
    <row r="30" customFormat="false" ht="23.85" hidden="false" customHeight="false" outlineLevel="0" collapsed="false">
      <c r="A30" s="7" t="s">
        <v>613</v>
      </c>
      <c r="B30" s="8" t="s">
        <v>610</v>
      </c>
      <c r="C30" s="8" t="s">
        <v>611</v>
      </c>
      <c r="D30" s="8" t="s">
        <v>609</v>
      </c>
      <c r="E30" s="7" t="s">
        <v>463</v>
      </c>
      <c r="F30" s="7" t="s">
        <v>71</v>
      </c>
      <c r="G30" s="8" t="s">
        <v>1284</v>
      </c>
      <c r="H30" s="8" t="s">
        <v>1316</v>
      </c>
      <c r="I30" s="7" t="n">
        <v>2</v>
      </c>
    </row>
    <row r="31" customFormat="false" ht="23.85" hidden="false" customHeight="false" outlineLevel="0" collapsed="false">
      <c r="A31" s="7" t="s">
        <v>684</v>
      </c>
      <c r="B31" s="8" t="s">
        <v>681</v>
      </c>
      <c r="C31" s="8" t="s">
        <v>682</v>
      </c>
      <c r="D31" s="8" t="s">
        <v>680</v>
      </c>
      <c r="E31" s="7" t="s">
        <v>683</v>
      </c>
      <c r="F31" s="7" t="s">
        <v>71</v>
      </c>
      <c r="G31" s="8" t="s">
        <v>1317</v>
      </c>
      <c r="H31" s="8" t="s">
        <v>1318</v>
      </c>
      <c r="I31" s="7" t="n">
        <v>5</v>
      </c>
    </row>
    <row r="32" customFormat="false" ht="23.85" hidden="false" customHeight="false" outlineLevel="0" collapsed="false">
      <c r="A32" s="7" t="s">
        <v>800</v>
      </c>
      <c r="B32" s="8" t="s">
        <v>796</v>
      </c>
      <c r="C32" s="8" t="s">
        <v>797</v>
      </c>
      <c r="D32" s="8" t="s">
        <v>795</v>
      </c>
      <c r="E32" s="7" t="s">
        <v>798</v>
      </c>
      <c r="F32" s="7" t="s">
        <v>71</v>
      </c>
      <c r="G32" s="8" t="s">
        <v>1309</v>
      </c>
      <c r="H32" s="8" t="s">
        <v>1319</v>
      </c>
      <c r="I32" s="7" t="n">
        <v>5</v>
      </c>
    </row>
    <row r="33" customFormat="false" ht="23.85" hidden="false" customHeight="false" outlineLevel="0" collapsed="false">
      <c r="A33" s="7" t="s">
        <v>826</v>
      </c>
      <c r="B33" s="8" t="s">
        <v>824</v>
      </c>
      <c r="C33" s="8" t="s">
        <v>108</v>
      </c>
      <c r="D33" s="8" t="s">
        <v>823</v>
      </c>
      <c r="E33" s="7" t="s">
        <v>798</v>
      </c>
      <c r="F33" s="7" t="s">
        <v>71</v>
      </c>
      <c r="G33" s="8" t="s">
        <v>1320</v>
      </c>
      <c r="H33" s="8" t="s">
        <v>1321</v>
      </c>
      <c r="I33" s="7" t="n">
        <v>3</v>
      </c>
    </row>
    <row r="34" customFormat="false" ht="15" hidden="false" customHeight="false" outlineLevel="0" collapsed="false">
      <c r="A34" s="7" t="s">
        <v>812</v>
      </c>
      <c r="B34" s="8" t="s">
        <v>808</v>
      </c>
      <c r="C34" s="8" t="s">
        <v>809</v>
      </c>
      <c r="D34" s="8" t="s">
        <v>807</v>
      </c>
      <c r="E34" s="7" t="s">
        <v>556</v>
      </c>
      <c r="F34" s="7" t="s">
        <v>71</v>
      </c>
      <c r="G34" s="8" t="s">
        <v>1309</v>
      </c>
      <c r="H34" s="8" t="s">
        <v>1322</v>
      </c>
      <c r="I34" s="7" t="n">
        <v>5</v>
      </c>
    </row>
    <row r="35" customFormat="false" ht="35.05" hidden="false" customHeight="false" outlineLevel="0" collapsed="false">
      <c r="A35" s="7" t="s">
        <v>749</v>
      </c>
      <c r="B35" s="8" t="s">
        <v>746</v>
      </c>
      <c r="C35" s="8" t="s">
        <v>747</v>
      </c>
      <c r="D35" s="8" t="s">
        <v>745</v>
      </c>
      <c r="E35" s="7" t="s">
        <v>748</v>
      </c>
      <c r="F35" s="7" t="s">
        <v>71</v>
      </c>
      <c r="G35" s="8" t="s">
        <v>1323</v>
      </c>
      <c r="H35" s="8" t="s">
        <v>1324</v>
      </c>
      <c r="I35" s="7" t="n">
        <v>9</v>
      </c>
    </row>
    <row r="36" customFormat="false" ht="23.85" hidden="false" customHeight="false" outlineLevel="0" collapsed="false">
      <c r="A36" s="7" t="s">
        <v>772</v>
      </c>
      <c r="B36" s="8" t="s">
        <v>768</v>
      </c>
      <c r="C36" s="8" t="s">
        <v>769</v>
      </c>
      <c r="D36" s="8" t="s">
        <v>767</v>
      </c>
      <c r="E36" s="7" t="s">
        <v>770</v>
      </c>
      <c r="F36" s="7" t="s">
        <v>71</v>
      </c>
      <c r="G36" s="8" t="s">
        <v>1309</v>
      </c>
      <c r="H36" s="8" t="s">
        <v>1325</v>
      </c>
      <c r="I36" s="7" t="n">
        <v>9</v>
      </c>
    </row>
    <row r="37" customFormat="false" ht="23.85" hidden="false" customHeight="false" outlineLevel="0" collapsed="false">
      <c r="A37" s="7" t="s">
        <v>583</v>
      </c>
      <c r="B37" s="8" t="s">
        <v>579</v>
      </c>
      <c r="C37" s="8" t="s">
        <v>580</v>
      </c>
      <c r="D37" s="8" t="s">
        <v>578</v>
      </c>
      <c r="E37" s="7" t="s">
        <v>581</v>
      </c>
      <c r="F37" s="7" t="s">
        <v>71</v>
      </c>
      <c r="G37" s="8" t="s">
        <v>1326</v>
      </c>
      <c r="H37" s="8" t="s">
        <v>1327</v>
      </c>
      <c r="I37" s="7" t="n">
        <v>4</v>
      </c>
    </row>
    <row r="38" customFormat="false" ht="35.05" hidden="false" customHeight="false" outlineLevel="0" collapsed="false">
      <c r="A38" s="7" t="s">
        <v>599</v>
      </c>
      <c r="B38" s="8" t="s">
        <v>595</v>
      </c>
      <c r="C38" s="8" t="s">
        <v>596</v>
      </c>
      <c r="D38" s="8" t="s">
        <v>594</v>
      </c>
      <c r="E38" s="7" t="s">
        <v>597</v>
      </c>
      <c r="F38" s="7" t="s">
        <v>71</v>
      </c>
      <c r="G38" s="8" t="s">
        <v>1328</v>
      </c>
      <c r="H38" s="8" t="s">
        <v>1329</v>
      </c>
      <c r="I38" s="7" t="n">
        <v>4</v>
      </c>
    </row>
    <row r="39" customFormat="false" ht="23.85" hidden="false" customHeight="false" outlineLevel="0" collapsed="false">
      <c r="A39" s="7" t="s">
        <v>676</v>
      </c>
      <c r="B39" s="8" t="s">
        <v>671</v>
      </c>
      <c r="C39" s="8" t="s">
        <v>672</v>
      </c>
      <c r="D39" s="8" t="s">
        <v>670</v>
      </c>
      <c r="E39" s="7" t="s">
        <v>673</v>
      </c>
      <c r="F39" s="7" t="s">
        <v>71</v>
      </c>
      <c r="G39" s="8" t="s">
        <v>1279</v>
      </c>
      <c r="H39" s="8" t="s">
        <v>1330</v>
      </c>
      <c r="I39" s="7" t="n">
        <v>1</v>
      </c>
    </row>
    <row r="40" customFormat="false" ht="35.05" hidden="false" customHeight="false" outlineLevel="0" collapsed="false">
      <c r="A40" s="7" t="s">
        <v>957</v>
      </c>
      <c r="B40" s="8" t="s">
        <v>954</v>
      </c>
      <c r="C40" s="8" t="s">
        <v>955</v>
      </c>
      <c r="D40" s="8" t="s">
        <v>953</v>
      </c>
      <c r="E40" s="7" t="s">
        <v>197</v>
      </c>
      <c r="F40" s="7" t="s">
        <v>71</v>
      </c>
      <c r="G40" s="8" t="s">
        <v>1279</v>
      </c>
      <c r="H40" s="8" t="s">
        <v>1331</v>
      </c>
      <c r="I40" s="7" t="n">
        <v>3</v>
      </c>
    </row>
    <row r="41" customFormat="false" ht="35.05" hidden="false" customHeight="false" outlineLevel="0" collapsed="false">
      <c r="A41" s="7" t="s">
        <v>431</v>
      </c>
      <c r="B41" s="8" t="s">
        <v>427</v>
      </c>
      <c r="C41" s="8" t="s">
        <v>428</v>
      </c>
      <c r="D41" s="8" t="s">
        <v>426</v>
      </c>
      <c r="E41" s="7" t="s">
        <v>429</v>
      </c>
      <c r="F41" s="7" t="s">
        <v>71</v>
      </c>
      <c r="G41" s="8" t="s">
        <v>1279</v>
      </c>
      <c r="H41" s="8" t="s">
        <v>1332</v>
      </c>
      <c r="I41" s="7" t="n">
        <v>3</v>
      </c>
    </row>
    <row r="42" customFormat="false" ht="23.85" hidden="false" customHeight="false" outlineLevel="0" collapsed="false">
      <c r="A42" s="7" t="s">
        <v>367</v>
      </c>
      <c r="B42" s="8" t="s">
        <v>363</v>
      </c>
      <c r="C42" s="8" t="s">
        <v>364</v>
      </c>
      <c r="D42" s="8" t="s">
        <v>362</v>
      </c>
      <c r="E42" s="7" t="s">
        <v>365</v>
      </c>
      <c r="F42" s="7" t="s">
        <v>71</v>
      </c>
      <c r="G42" s="8" t="s">
        <v>1279</v>
      </c>
      <c r="H42" s="8" t="s">
        <v>1333</v>
      </c>
      <c r="I42" s="7" t="n">
        <v>1</v>
      </c>
    </row>
    <row r="43" customFormat="false" ht="23.85" hidden="false" customHeight="false" outlineLevel="0" collapsed="false">
      <c r="A43" s="7" t="s">
        <v>1334</v>
      </c>
      <c r="B43" s="8" t="s">
        <v>1335</v>
      </c>
      <c r="C43" s="8" t="s">
        <v>381</v>
      </c>
      <c r="D43" s="8" t="s">
        <v>1336</v>
      </c>
      <c r="E43" s="7" t="s">
        <v>1337</v>
      </c>
      <c r="F43" s="7" t="s">
        <v>71</v>
      </c>
      <c r="G43" s="8" t="s">
        <v>1279</v>
      </c>
      <c r="H43" s="8" t="s">
        <v>1338</v>
      </c>
      <c r="I43" s="7" t="n">
        <v>0</v>
      </c>
    </row>
    <row r="44" customFormat="false" ht="23.85" hidden="false" customHeight="false" outlineLevel="0" collapsed="false">
      <c r="A44" s="7" t="s">
        <v>201</v>
      </c>
      <c r="B44" s="8" t="s">
        <v>195</v>
      </c>
      <c r="C44" s="8" t="s">
        <v>196</v>
      </c>
      <c r="D44" s="8" t="s">
        <v>194</v>
      </c>
      <c r="E44" s="7" t="s">
        <v>197</v>
      </c>
      <c r="F44" s="7" t="s">
        <v>71</v>
      </c>
      <c r="G44" s="8" t="s">
        <v>1284</v>
      </c>
      <c r="H44" s="8" t="s">
        <v>1339</v>
      </c>
      <c r="I44" s="7" t="n">
        <v>2</v>
      </c>
    </row>
    <row r="45" customFormat="false" ht="23.85" hidden="false" customHeight="false" outlineLevel="0" collapsed="false">
      <c r="A45" s="7" t="s">
        <v>406</v>
      </c>
      <c r="B45" s="8" t="s">
        <v>402</v>
      </c>
      <c r="C45" s="8" t="s">
        <v>403</v>
      </c>
      <c r="D45" s="8" t="s">
        <v>401</v>
      </c>
      <c r="E45" s="7" t="s">
        <v>404</v>
      </c>
      <c r="F45" s="7" t="s">
        <v>71</v>
      </c>
      <c r="G45" s="8" t="s">
        <v>1279</v>
      </c>
      <c r="H45" s="8" t="s">
        <v>1340</v>
      </c>
      <c r="I45" s="7" t="n">
        <v>3</v>
      </c>
    </row>
    <row r="46" customFormat="false" ht="35.05" hidden="false" customHeight="false" outlineLevel="0" collapsed="false">
      <c r="A46" s="7" t="s">
        <v>138</v>
      </c>
      <c r="B46" s="8" t="s">
        <v>133</v>
      </c>
      <c r="C46" s="8" t="s">
        <v>134</v>
      </c>
      <c r="D46" s="8" t="s">
        <v>132</v>
      </c>
      <c r="E46" s="7" t="s">
        <v>135</v>
      </c>
      <c r="F46" s="7" t="s">
        <v>71</v>
      </c>
      <c r="G46" s="8" t="s">
        <v>1279</v>
      </c>
      <c r="H46" s="8" t="s">
        <v>1341</v>
      </c>
      <c r="I46" s="7" t="n">
        <v>3</v>
      </c>
    </row>
    <row r="47" customFormat="false" ht="35.05" hidden="false" customHeight="false" outlineLevel="0" collapsed="false">
      <c r="A47" s="7" t="s">
        <v>214</v>
      </c>
      <c r="B47" s="8" t="s">
        <v>209</v>
      </c>
      <c r="C47" s="8" t="s">
        <v>210</v>
      </c>
      <c r="D47" s="8" t="s">
        <v>208</v>
      </c>
      <c r="E47" s="7" t="s">
        <v>211</v>
      </c>
      <c r="F47" s="7" t="s">
        <v>71</v>
      </c>
      <c r="G47" s="8" t="s">
        <v>1279</v>
      </c>
      <c r="H47" s="8" t="s">
        <v>1342</v>
      </c>
      <c r="I47" s="7" t="n">
        <v>4</v>
      </c>
    </row>
    <row r="48" customFormat="false" ht="23.85" hidden="false" customHeight="false" outlineLevel="0" collapsed="false">
      <c r="A48" s="7" t="s">
        <v>941</v>
      </c>
      <c r="B48" s="8" t="s">
        <v>938</v>
      </c>
      <c r="C48" s="8" t="s">
        <v>108</v>
      </c>
      <c r="D48" s="8" t="s">
        <v>937</v>
      </c>
      <c r="E48" s="7" t="s">
        <v>939</v>
      </c>
      <c r="F48" s="7" t="s">
        <v>71</v>
      </c>
      <c r="G48" s="8" t="s">
        <v>1279</v>
      </c>
      <c r="H48" s="8" t="s">
        <v>1343</v>
      </c>
      <c r="I48" s="7" t="n">
        <v>1</v>
      </c>
    </row>
    <row r="49" customFormat="false" ht="15" hidden="false" customHeight="false" outlineLevel="0" collapsed="false">
      <c r="A49" s="7" t="s">
        <v>383</v>
      </c>
      <c r="B49" s="8" t="s">
        <v>380</v>
      </c>
      <c r="C49" s="8" t="s">
        <v>381</v>
      </c>
      <c r="D49" s="8" t="s">
        <v>379</v>
      </c>
      <c r="E49" s="7" t="s">
        <v>382</v>
      </c>
      <c r="F49" s="7" t="s">
        <v>71</v>
      </c>
      <c r="G49" s="8" t="s">
        <v>1279</v>
      </c>
      <c r="H49" s="8" t="s">
        <v>1344</v>
      </c>
      <c r="I49" s="7" t="n">
        <v>2</v>
      </c>
    </row>
    <row r="50" customFormat="false" ht="23.85" hidden="false" customHeight="false" outlineLevel="0" collapsed="false">
      <c r="A50" s="7" t="s">
        <v>360</v>
      </c>
      <c r="B50" s="8" t="s">
        <v>356</v>
      </c>
      <c r="C50" s="8" t="s">
        <v>108</v>
      </c>
      <c r="D50" s="8" t="s">
        <v>355</v>
      </c>
      <c r="E50" s="7" t="s">
        <v>357</v>
      </c>
      <c r="F50" s="7" t="s">
        <v>71</v>
      </c>
      <c r="G50" s="8" t="s">
        <v>1279</v>
      </c>
      <c r="H50" s="8" t="s">
        <v>1345</v>
      </c>
      <c r="I50" s="7" t="n">
        <v>1</v>
      </c>
    </row>
    <row r="51" customFormat="false" ht="46.25" hidden="false" customHeight="false" outlineLevel="0" collapsed="false">
      <c r="A51" s="7" t="s">
        <v>651</v>
      </c>
      <c r="B51" s="8" t="s">
        <v>646</v>
      </c>
      <c r="C51" s="8" t="s">
        <v>647</v>
      </c>
      <c r="D51" s="8" t="s">
        <v>645</v>
      </c>
      <c r="E51" s="7" t="s">
        <v>341</v>
      </c>
      <c r="F51" s="7" t="s">
        <v>71</v>
      </c>
      <c r="G51" s="8" t="s">
        <v>1346</v>
      </c>
      <c r="H51" s="8" t="s">
        <v>1347</v>
      </c>
      <c r="I51" s="7" t="n">
        <v>3</v>
      </c>
    </row>
    <row r="52" customFormat="false" ht="23.85" hidden="false" customHeight="false" outlineLevel="0" collapsed="false">
      <c r="A52" s="7" t="s">
        <v>783</v>
      </c>
      <c r="B52" s="8" t="s">
        <v>782</v>
      </c>
      <c r="C52" s="8" t="s">
        <v>631</v>
      </c>
      <c r="D52" s="8" t="s">
        <v>629</v>
      </c>
      <c r="E52" s="7" t="s">
        <v>632</v>
      </c>
      <c r="F52" s="7" t="s">
        <v>71</v>
      </c>
      <c r="G52" s="8" t="s">
        <v>1309</v>
      </c>
      <c r="H52" s="8" t="s">
        <v>1348</v>
      </c>
      <c r="I52" s="7" t="n">
        <v>1</v>
      </c>
    </row>
    <row r="53" customFormat="false" ht="15" hidden="false" customHeight="false" outlineLevel="0" collapsed="false">
      <c r="A53" s="7" t="s">
        <v>633</v>
      </c>
      <c r="B53" s="8" t="s">
        <v>630</v>
      </c>
      <c r="C53" s="8" t="s">
        <v>631</v>
      </c>
      <c r="D53" s="8" t="s">
        <v>629</v>
      </c>
      <c r="E53" s="7" t="s">
        <v>632</v>
      </c>
      <c r="F53" s="7" t="s">
        <v>71</v>
      </c>
      <c r="G53" s="8" t="s">
        <v>1284</v>
      </c>
      <c r="H53" s="8" t="s">
        <v>1349</v>
      </c>
      <c r="I53" s="7" t="n">
        <v>1</v>
      </c>
    </row>
    <row r="54" customFormat="false" ht="35.05" hidden="false" customHeight="false" outlineLevel="0" collapsed="false">
      <c r="A54" s="7" t="s">
        <v>848</v>
      </c>
      <c r="B54" s="8" t="s">
        <v>845</v>
      </c>
      <c r="C54" s="8" t="s">
        <v>846</v>
      </c>
      <c r="D54" s="8" t="s">
        <v>844</v>
      </c>
      <c r="E54" s="7" t="s">
        <v>556</v>
      </c>
      <c r="F54" s="7" t="s">
        <v>71</v>
      </c>
      <c r="G54" s="8" t="s">
        <v>1309</v>
      </c>
      <c r="H54" s="8" t="s">
        <v>1350</v>
      </c>
      <c r="I54" s="7" t="n">
        <v>2</v>
      </c>
    </row>
    <row r="55" customFormat="false" ht="23.85" hidden="false" customHeight="false" outlineLevel="0" collapsed="false">
      <c r="A55" s="7" t="s">
        <v>735</v>
      </c>
      <c r="B55" s="8" t="s">
        <v>731</v>
      </c>
      <c r="C55" s="8" t="s">
        <v>732</v>
      </c>
      <c r="D55" s="8" t="s">
        <v>730</v>
      </c>
      <c r="E55" s="7" t="s">
        <v>733</v>
      </c>
      <c r="F55" s="7" t="s">
        <v>71</v>
      </c>
      <c r="G55" s="8" t="s">
        <v>1309</v>
      </c>
      <c r="H55" s="8" t="s">
        <v>1351</v>
      </c>
      <c r="I55" s="7" t="n">
        <v>1</v>
      </c>
    </row>
    <row r="56" customFormat="false" ht="23.85" hidden="false" customHeight="false" outlineLevel="0" collapsed="false">
      <c r="A56" s="7" t="s">
        <v>1032</v>
      </c>
      <c r="B56" s="8" t="s">
        <v>1030</v>
      </c>
      <c r="C56" s="8" t="s">
        <v>364</v>
      </c>
      <c r="D56" s="8" t="s">
        <v>1029</v>
      </c>
      <c r="E56" s="7" t="s">
        <v>197</v>
      </c>
      <c r="F56" s="7" t="s">
        <v>71</v>
      </c>
      <c r="G56" s="8" t="s">
        <v>1279</v>
      </c>
      <c r="H56" s="8" t="s">
        <v>1352</v>
      </c>
      <c r="I56" s="7" t="n">
        <v>1</v>
      </c>
    </row>
    <row r="58" customFormat="false" ht="15" hidden="false" customHeight="false" outlineLevel="0" collapsed="false">
      <c r="A58" s="4" t="s">
        <v>1353</v>
      </c>
    </row>
    <row r="59" customFormat="false" ht="15" hidden="false" customHeight="false" outlineLevel="0" collapsed="false">
      <c r="A59" s="5" t="s">
        <v>1354</v>
      </c>
    </row>
    <row r="60" customFormat="false" ht="15" hidden="false" customHeight="false" outlineLevel="0" collapsed="false">
      <c r="A60" s="5" t="s">
        <v>1355</v>
      </c>
    </row>
    <row r="61" customFormat="false" ht="15" hidden="false" customHeight="false" outlineLevel="0" collapsed="false">
      <c r="A61" s="5" t="s">
        <v>1356</v>
      </c>
    </row>
    <row r="62" customFormat="false" ht="15" hidden="false" customHeight="false" outlineLevel="0" collapsed="false">
      <c r="A62" s="5" t="s">
        <v>1357</v>
      </c>
    </row>
  </sheetData>
  <autoFilter ref="A1:I5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00"/>
    <col collapsed="false" customWidth="true" hidden="false" outlineLevel="0" max="3" min="3" style="0" width="60"/>
  </cols>
  <sheetData>
    <row r="1" customFormat="false" ht="30" hidden="false" customHeight="true" outlineLevel="0" collapsed="false">
      <c r="A1" s="6" t="s">
        <v>1358</v>
      </c>
      <c r="B1" s="6" t="s">
        <v>1062</v>
      </c>
      <c r="C1" s="6" t="s">
        <v>1359</v>
      </c>
    </row>
    <row r="2" customFormat="false" ht="23.85" hidden="false" customHeight="false" outlineLevel="0" collapsed="false">
      <c r="A2" s="7" t="s">
        <v>39</v>
      </c>
      <c r="B2" s="8" t="s">
        <v>1360</v>
      </c>
      <c r="C2" s="8" t="s">
        <v>1361</v>
      </c>
    </row>
    <row r="3" customFormat="false" ht="15" hidden="false" customHeight="false" outlineLevel="0" collapsed="false">
      <c r="A3" s="7" t="s">
        <v>40</v>
      </c>
      <c r="B3" s="8" t="s">
        <v>1362</v>
      </c>
      <c r="C3" s="8" t="s">
        <v>1363</v>
      </c>
    </row>
    <row r="4" customFormat="false" ht="15" hidden="false" customHeight="false" outlineLevel="0" collapsed="false">
      <c r="A4" s="7" t="s">
        <v>41</v>
      </c>
      <c r="B4" s="8" t="s">
        <v>1364</v>
      </c>
      <c r="C4" s="8" t="s">
        <v>1365</v>
      </c>
    </row>
    <row r="5" customFormat="false" ht="15" hidden="false" customHeight="false" outlineLevel="0" collapsed="false">
      <c r="A5" s="7" t="s">
        <v>42</v>
      </c>
      <c r="B5" s="8" t="s">
        <v>1366</v>
      </c>
      <c r="C5" s="8" t="s">
        <v>1367</v>
      </c>
    </row>
    <row r="6" customFormat="false" ht="15" hidden="false" customHeight="false" outlineLevel="0" collapsed="false">
      <c r="A6" s="7" t="s">
        <v>43</v>
      </c>
      <c r="B6" s="8" t="s">
        <v>1368</v>
      </c>
      <c r="C6" s="8" t="s">
        <v>1369</v>
      </c>
    </row>
    <row r="7" customFormat="false" ht="15" hidden="false" customHeight="false" outlineLevel="0" collapsed="false">
      <c r="A7" s="7" t="s">
        <v>44</v>
      </c>
      <c r="B7" s="8" t="s">
        <v>1370</v>
      </c>
      <c r="C7" s="8" t="s">
        <v>1371</v>
      </c>
    </row>
    <row r="8" customFormat="false" ht="15" hidden="false" customHeight="false" outlineLevel="0" collapsed="false">
      <c r="A8" s="7" t="s">
        <v>45</v>
      </c>
      <c r="B8" s="8" t="s">
        <v>1372</v>
      </c>
      <c r="C8" s="8" t="s">
        <v>63</v>
      </c>
    </row>
    <row r="9" customFormat="false" ht="15" hidden="false" customHeight="false" outlineLevel="0" collapsed="false">
      <c r="A9" s="7" t="s">
        <v>46</v>
      </c>
      <c r="B9" s="8" t="s">
        <v>1373</v>
      </c>
      <c r="C9" s="8" t="s">
        <v>1374</v>
      </c>
    </row>
    <row r="10" customFormat="false" ht="15" hidden="false" customHeight="false" outlineLevel="0" collapsed="false">
      <c r="A10" s="7" t="s">
        <v>47</v>
      </c>
      <c r="B10" s="8" t="s">
        <v>1375</v>
      </c>
      <c r="C10" s="8" t="s">
        <v>1363</v>
      </c>
    </row>
    <row r="11" customFormat="false" ht="23.85" hidden="false" customHeight="false" outlineLevel="0" collapsed="false">
      <c r="A11" s="7" t="s">
        <v>48</v>
      </c>
      <c r="B11" s="8" t="s">
        <v>1376</v>
      </c>
      <c r="C11" s="8" t="s">
        <v>1377</v>
      </c>
    </row>
    <row r="12" customFormat="false" ht="15" hidden="false" customHeight="false" outlineLevel="0" collapsed="false">
      <c r="A12" s="7" t="s">
        <v>1378</v>
      </c>
      <c r="B12" s="8" t="s">
        <v>1379</v>
      </c>
      <c r="C12" s="8" t="s">
        <v>1380</v>
      </c>
    </row>
    <row r="13" customFormat="false" ht="15" hidden="false" customHeight="false" outlineLevel="0" collapsed="false">
      <c r="A13" s="7" t="s">
        <v>52</v>
      </c>
      <c r="B13" s="8" t="s">
        <v>1381</v>
      </c>
      <c r="C13" s="8" t="s">
        <v>1382</v>
      </c>
    </row>
    <row r="14" customFormat="false" ht="15" hidden="false" customHeight="false" outlineLevel="0" collapsed="false">
      <c r="A14" s="7" t="s">
        <v>53</v>
      </c>
      <c r="B14" s="8" t="s">
        <v>1383</v>
      </c>
      <c r="C14" s="8" t="s">
        <v>71</v>
      </c>
    </row>
    <row r="15" customFormat="false" ht="15" hidden="false" customHeight="false" outlineLevel="0" collapsed="false">
      <c r="A15" s="7" t="s">
        <v>54</v>
      </c>
      <c r="B15" s="8" t="s">
        <v>1384</v>
      </c>
      <c r="C15" s="8" t="s">
        <v>1363</v>
      </c>
    </row>
    <row r="16" customFormat="false" ht="23.85" hidden="false" customHeight="false" outlineLevel="0" collapsed="false">
      <c r="A16" s="7" t="s">
        <v>55</v>
      </c>
      <c r="B16" s="8" t="s">
        <v>1385</v>
      </c>
      <c r="C16" s="8" t="s">
        <v>1386</v>
      </c>
    </row>
    <row r="17" customFormat="false" ht="15" hidden="false" customHeight="false" outlineLevel="0" collapsed="false">
      <c r="A17" s="7" t="s">
        <v>56</v>
      </c>
      <c r="B17" s="8" t="s">
        <v>1387</v>
      </c>
      <c r="C17" s="8" t="s">
        <v>1363</v>
      </c>
    </row>
    <row r="18" customFormat="false" ht="15" hidden="false" customHeight="false" outlineLevel="0" collapsed="false">
      <c r="A18" s="7" t="s">
        <v>57</v>
      </c>
      <c r="B18" s="8" t="s">
        <v>1388</v>
      </c>
      <c r="C18" s="8" t="s">
        <v>1389</v>
      </c>
    </row>
    <row r="19" customFormat="false" ht="23.85" hidden="false" customHeight="false" outlineLevel="0" collapsed="false">
      <c r="A19" s="7" t="s">
        <v>1390</v>
      </c>
      <c r="B19" s="8" t="s">
        <v>1391</v>
      </c>
      <c r="C19" s="8"/>
    </row>
  </sheetData>
  <autoFilter ref="A1:C1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60"/>
    <col collapsed="false" customWidth="true" hidden="false" outlineLevel="0" max="3" min="3" style="0" width="14"/>
    <col collapsed="false" customWidth="true" hidden="false" outlineLevel="0" max="5" min="4" style="0" width="12"/>
    <col collapsed="false" customWidth="true" hidden="false" outlineLevel="0" max="6" min="6" style="0" width="70"/>
  </cols>
  <sheetData>
    <row r="1" customFormat="false" ht="17.35" hidden="false" customHeight="false" outlineLevel="0" collapsed="false">
      <c r="A1" s="1" t="s">
        <v>1392</v>
      </c>
    </row>
    <row r="3" customFormat="false" ht="15" hidden="false" customHeight="false" outlineLevel="0" collapsed="false">
      <c r="A3" s="16" t="s">
        <v>1393</v>
      </c>
      <c r="B3" s="16" t="s">
        <v>1394</v>
      </c>
      <c r="C3" s="16" t="s">
        <v>1061</v>
      </c>
      <c r="D3" s="16" t="s">
        <v>1395</v>
      </c>
      <c r="E3" s="16" t="s">
        <v>1396</v>
      </c>
      <c r="F3" s="16" t="s">
        <v>1397</v>
      </c>
    </row>
    <row r="4" customFormat="false" ht="15" hidden="false" customHeight="false" outlineLevel="0" collapsed="false">
      <c r="A4" s="8" t="s">
        <v>1398</v>
      </c>
      <c r="B4" s="8" t="s">
        <v>1399</v>
      </c>
      <c r="C4" s="23" t="n">
        <f aca="false">SUMPRODUCT((COUNTIF(Company_Financials!A2:A200,Company_Financials!A2:A200)&gt;1)*(Company_Financials!A2:A200&lt;&gt;""))+SUMPRODUCT((COUNTIF(Restaurant_Market!A2:A200,Restaurant_Market!A2:A200)&gt;1)*(Restaurant_Market!A2:A200&lt;&gt;""))+SUMPRODUCT((COUNTIF(Macroeconomic_Context!A2:A200,Macroeconomic_Context!A2:A200)&gt;1)*(Macroeconomic_Context!A2:A200&lt;&gt;""))+SUMPRODUCT((COUNTIF(Operating_Indicators!A2:A200,Operating_Indicators!A2:A200)&gt;1)*(Operating_Indicators!A2:A200&lt;&gt;""))</f>
        <v>0</v>
      </c>
      <c r="D4" s="8" t="n">
        <v>0</v>
      </c>
      <c r="E4" s="8" t="str">
        <f aca="false">IF(C4=0,"Pass","Flag")</f>
        <v>Pass</v>
      </c>
      <c r="F4" s="8" t="s">
        <v>1400</v>
      </c>
    </row>
    <row r="5" customFormat="false" ht="15" hidden="false" customHeight="false" outlineLevel="0" collapsed="false">
      <c r="A5" s="8" t="s">
        <v>1401</v>
      </c>
      <c r="B5" s="8" t="s">
        <v>1402</v>
      </c>
      <c r="C5" s="23" t="n">
        <f aca="false">COUNTIFS(Company_Financials!A2:A200,"&lt;&gt;",Company_Financials!K2:K200,"")+COUNTIFS(Restaurant_Market!A2:A200,"&lt;&gt;",Restaurant_Market!K2:K200,"")+COUNTIFS(Macroeconomic_Context!A2:A200,"&lt;&gt;",Macroeconomic_Context!K2:K200,"")+COUNTIFS(Operating_Indicators!A2:A200,"&lt;&gt;",Operating_Indicators!K2:K200,"")</f>
        <v>0</v>
      </c>
      <c r="D5" s="8" t="n">
        <v>0</v>
      </c>
      <c r="E5" s="8" t="str">
        <f aca="false">IF(C5=0,"Pass","Flag")</f>
        <v>Pass</v>
      </c>
      <c r="F5" s="8" t="s">
        <v>1403</v>
      </c>
    </row>
    <row r="6" customFormat="false" ht="15" hidden="false" customHeight="false" outlineLevel="0" collapsed="false">
      <c r="A6" s="8" t="s">
        <v>1404</v>
      </c>
      <c r="B6" s="8" t="s">
        <v>1405</v>
      </c>
      <c r="C6" s="23" t="n">
        <f aca="false">COUNTIFS(Company_Financials!J2:J200,"Unavailable",Company_Financials!D2:D200,"&lt;&gt;")+COUNTIFS(Restaurant_Market!J2:J200,"Unavailable",Restaurant_Market!D2:D200,"&lt;&gt;")+COUNTIFS(Macroeconomic_Context!J2:J200,"Unavailable",Macroeconomic_Context!D2:D200,"&lt;&gt;")+COUNTIFS(Operating_Indicators!J2:J200,"Unavailable",Operating_Indicators!D2:D200,"&lt;&gt;")</f>
        <v>0</v>
      </c>
      <c r="D6" s="8" t="n">
        <v>0</v>
      </c>
      <c r="E6" s="8" t="str">
        <f aca="false">IF(C6=0,"Pass","Flag")</f>
        <v>Pass</v>
      </c>
      <c r="F6" s="8" t="s">
        <v>1406</v>
      </c>
    </row>
    <row r="7" customFormat="false" ht="15" hidden="false" customHeight="false" outlineLevel="0" collapsed="false">
      <c r="A7" s="8" t="s">
        <v>1407</v>
      </c>
      <c r="B7" s="8" t="s">
        <v>1408</v>
      </c>
      <c r="C7" s="23" t="n">
        <f aca="false">COUNTIF(Company_Financials!J2:J200,"Unavailable")+COUNTIF(Restaurant_Market!J2:J200,"Unavailable")+COUNTIF(Macroeconomic_Context!J2:J200,"Unavailable")+COUNTIF(Operating_Indicators!J2:J200,"Unavailable")</f>
        <v>6</v>
      </c>
      <c r="D7" s="8" t="s">
        <v>1409</v>
      </c>
      <c r="E7" s="8" t="s">
        <v>1410</v>
      </c>
      <c r="F7" s="8" t="s">
        <v>1411</v>
      </c>
    </row>
    <row r="8" customFormat="false" ht="15" hidden="false" customHeight="false" outlineLevel="0" collapsed="false">
      <c r="A8" s="8" t="s">
        <v>1412</v>
      </c>
      <c r="B8" s="8" t="s">
        <v>1413</v>
      </c>
      <c r="C8" s="23" t="n">
        <v>0</v>
      </c>
      <c r="D8" s="8" t="n">
        <v>0</v>
      </c>
      <c r="E8" s="8" t="str">
        <f aca="false">IF(C8=0,"Pass","Flag")</f>
        <v>Pass</v>
      </c>
      <c r="F8" s="8" t="s">
        <v>1414</v>
      </c>
    </row>
    <row r="9" customFormat="false" ht="23.85" hidden="false" customHeight="false" outlineLevel="0" collapsed="false">
      <c r="A9" s="8" t="s">
        <v>1415</v>
      </c>
      <c r="B9" s="8" t="s">
        <v>1416</v>
      </c>
      <c r="C9" s="23" t="n">
        <f aca="false">ABS(KPI_Calculations!K33-INDEX(Macroeconomic_Context!$D:$D,MATCH("MA-024",Macroeconomic_Context!$A:$A,0)))</f>
        <v>0.00935221238938055</v>
      </c>
      <c r="D9" s="8" t="s">
        <v>1417</v>
      </c>
      <c r="E9" s="8" t="str">
        <f aca="false">IF(C9&lt;0.3,"Pass","Flag")</f>
        <v>Pass</v>
      </c>
      <c r="F9" s="8" t="s">
        <v>1418</v>
      </c>
    </row>
    <row r="10" customFormat="false" ht="23.85" hidden="false" customHeight="false" outlineLevel="0" collapsed="false">
      <c r="A10" s="8" t="s">
        <v>1419</v>
      </c>
      <c r="B10" s="8" t="s">
        <v>1420</v>
      </c>
      <c r="C10" s="23" t="n">
        <f aca="false">ABS(KPI_Calculations!K34-INDEX(Macroeconomic_Context!$D:$D,MATCH("MA-025",Macroeconomic_Context!$A:$A,0)))</f>
        <v>0.0106941176470592</v>
      </c>
      <c r="D10" s="8" t="s">
        <v>1417</v>
      </c>
      <c r="E10" s="8" t="str">
        <f aca="false">IF(C10&lt;0.3,"Pass","Flag")</f>
        <v>Pass</v>
      </c>
      <c r="F10" s="8" t="s">
        <v>1421</v>
      </c>
    </row>
    <row r="11" customFormat="false" ht="15" hidden="false" customHeight="false" outlineLevel="0" collapsed="false">
      <c r="A11" s="8" t="s">
        <v>1422</v>
      </c>
      <c r="B11" s="8" t="s">
        <v>1423</v>
      </c>
      <c r="C11" s="23" t="n">
        <f aca="false">ABS(KPI_Calculations!K2*100-INDEX(Company_Financials!$D:$D,MATCH("CF-008",Company_Financials!$A:$A,0)))</f>
        <v>0.33333333333333</v>
      </c>
      <c r="D11" s="8" t="s">
        <v>1424</v>
      </c>
      <c r="E11" s="8" t="str">
        <f aca="false">IF(C11&lt;1,"Pass","Flag")</f>
        <v>Pass</v>
      </c>
      <c r="F11" s="8" t="s">
        <v>1425</v>
      </c>
    </row>
    <row r="12" customFormat="false" ht="15" hidden="false" customHeight="false" outlineLevel="0" collapsed="false">
      <c r="A12" s="8" t="s">
        <v>1426</v>
      </c>
      <c r="B12" s="8" t="s">
        <v>1427</v>
      </c>
      <c r="C12" s="23" t="n">
        <f aca="false">ABS(KPI_Calculations!K4*100-INDEX(Company_Financials!$D:$D,MATCH("CF-030",Company_Financials!$A:$A,0)))</f>
        <v>0.294117647058831</v>
      </c>
      <c r="D12" s="8" t="s">
        <v>1424</v>
      </c>
      <c r="E12" s="8" t="str">
        <f aca="false">IF(C12&lt;1,"Pass","Flag")</f>
        <v>Pass</v>
      </c>
      <c r="F12" s="8" t="s">
        <v>1428</v>
      </c>
    </row>
    <row r="13" customFormat="false" ht="23.85" hidden="false" customHeight="false" outlineLevel="0" collapsed="false">
      <c r="A13" s="8" t="s">
        <v>1429</v>
      </c>
      <c r="B13" s="8" t="s">
        <v>1430</v>
      </c>
      <c r="C13" s="23" t="n">
        <f aca="false">ABS(KPI_Calculations!K17-INDEX(Macroeconomic_Context!$D:$D,MATCH("MA-026",Macroeconomic_Context!$A:$A,0)))</f>
        <v>0.0415000000000001</v>
      </c>
      <c r="D13" s="8" t="s">
        <v>1417</v>
      </c>
      <c r="E13" s="8" t="str">
        <f aca="false">IF(C13&lt;0.3,"Pass","Flag")</f>
        <v>Pass</v>
      </c>
      <c r="F13" s="8" t="s">
        <v>1431</v>
      </c>
    </row>
    <row r="14" customFormat="false" ht="15" hidden="false" customHeight="false" outlineLevel="0" collapsed="false">
      <c r="A14" s="8" t="s">
        <v>1432</v>
      </c>
      <c r="B14" s="8" t="s">
        <v>1433</v>
      </c>
      <c r="C14" s="23" t="n">
        <f aca="false">SUMPRODUCT(--ISERROR(KPI_Calculations!K2:K36))</f>
        <v>0</v>
      </c>
      <c r="D14" s="8" t="n">
        <v>0</v>
      </c>
      <c r="E14" s="8" t="str">
        <f aca="false">IF(C14=0,"Pass","Flag")</f>
        <v>Pass</v>
      </c>
      <c r="F14" s="8" t="s">
        <v>1434</v>
      </c>
    </row>
    <row r="15" customFormat="false" ht="15" hidden="false" customHeight="false" outlineLevel="0" collapsed="false">
      <c r="A15" s="8" t="s">
        <v>1435</v>
      </c>
      <c r="B15" s="8" t="s">
        <v>1436</v>
      </c>
      <c r="C15" s="23" t="n">
        <f aca="false">COUNTIF(KPI_Calculations!K2:K36,"n/a")-2</f>
        <v>0</v>
      </c>
      <c r="D15" s="8" t="n">
        <v>0</v>
      </c>
      <c r="E15" s="8" t="str">
        <f aca="false">IF(C15=0,"Pass","Flag")</f>
        <v>Pass</v>
      </c>
      <c r="F15" s="8" t="s">
        <v>1437</v>
      </c>
    </row>
    <row r="18" customFormat="false" ht="15" hidden="false" customHeight="false" outlineLevel="0" collapsed="false">
      <c r="A18" s="4" t="s">
        <v>1438</v>
      </c>
    </row>
    <row r="19" customFormat="false" ht="15" hidden="false" customHeight="false" outlineLevel="0" collapsed="false">
      <c r="A19" s="16" t="s">
        <v>1439</v>
      </c>
      <c r="B19" s="16" t="s">
        <v>1440</v>
      </c>
      <c r="C19" s="16" t="s">
        <v>1441</v>
      </c>
      <c r="D19" s="16" t="s">
        <v>1442</v>
      </c>
      <c r="E19" s="16" t="s">
        <v>1443</v>
      </c>
      <c r="F19" s="16" t="s">
        <v>1444</v>
      </c>
    </row>
    <row r="20" customFormat="false" ht="68.65" hidden="false" customHeight="false" outlineLevel="0" collapsed="false">
      <c r="A20" s="8" t="s">
        <v>1445</v>
      </c>
      <c r="B20" s="8" t="s">
        <v>1446</v>
      </c>
      <c r="C20" s="8" t="s">
        <v>1447</v>
      </c>
      <c r="D20" s="8" t="s">
        <v>1448</v>
      </c>
      <c r="E20" s="8" t="s">
        <v>1449</v>
      </c>
      <c r="F20" s="8" t="s">
        <v>1450</v>
      </c>
    </row>
    <row r="21" customFormat="false" ht="91" hidden="false" customHeight="false" outlineLevel="0" collapsed="false">
      <c r="A21" s="8" t="s">
        <v>1451</v>
      </c>
      <c r="B21" s="8" t="s">
        <v>1452</v>
      </c>
      <c r="C21" s="8" t="s">
        <v>1453</v>
      </c>
      <c r="D21" s="8" t="s">
        <v>1454</v>
      </c>
      <c r="E21" s="8" t="s">
        <v>1455</v>
      </c>
      <c r="F21" s="8" t="s">
        <v>1456</v>
      </c>
    </row>
    <row r="22" customFormat="false" ht="68.65" hidden="false" customHeight="false" outlineLevel="0" collapsed="false">
      <c r="A22" s="8" t="s">
        <v>1457</v>
      </c>
      <c r="B22" s="8" t="s">
        <v>1458</v>
      </c>
      <c r="C22" s="8" t="s">
        <v>1459</v>
      </c>
      <c r="D22" s="8" t="s">
        <v>1460</v>
      </c>
      <c r="E22" s="8" t="s">
        <v>1461</v>
      </c>
      <c r="F22" s="8" t="s">
        <v>1462</v>
      </c>
    </row>
    <row r="23" customFormat="false" ht="68.65" hidden="false" customHeight="false" outlineLevel="0" collapsed="false">
      <c r="A23" s="8" t="s">
        <v>1463</v>
      </c>
      <c r="B23" s="8" t="s">
        <v>1464</v>
      </c>
      <c r="C23" s="8" t="s">
        <v>1465</v>
      </c>
      <c r="D23" s="8" t="s">
        <v>1466</v>
      </c>
      <c r="E23" s="8" t="s">
        <v>1467</v>
      </c>
      <c r="F23" s="8" t="s">
        <v>1468</v>
      </c>
    </row>
    <row r="24" customFormat="false" ht="35.05" hidden="false" customHeight="false" outlineLevel="0" collapsed="false">
      <c r="A24" s="8" t="s">
        <v>1469</v>
      </c>
      <c r="B24" s="8" t="s">
        <v>1158</v>
      </c>
      <c r="C24" s="8" t="s">
        <v>1470</v>
      </c>
      <c r="D24" s="8" t="s">
        <v>1471</v>
      </c>
      <c r="E24" s="8" t="s">
        <v>1472</v>
      </c>
      <c r="F24" s="8" t="s">
        <v>1473</v>
      </c>
    </row>
    <row r="25" customFormat="false" ht="57.45" hidden="false" customHeight="false" outlineLevel="0" collapsed="false">
      <c r="A25" s="8" t="s">
        <v>1474</v>
      </c>
      <c r="B25" s="8" t="s">
        <v>1475</v>
      </c>
      <c r="C25" s="8" t="s">
        <v>1476</v>
      </c>
      <c r="D25" s="8" t="s">
        <v>1477</v>
      </c>
      <c r="E25" s="8" t="s">
        <v>342</v>
      </c>
      <c r="F25" s="8" t="s">
        <v>1478</v>
      </c>
    </row>
    <row r="26" customFormat="false" ht="79.85" hidden="false" customHeight="false" outlineLevel="0" collapsed="false">
      <c r="A26" s="8" t="s">
        <v>1479</v>
      </c>
      <c r="B26" s="8" t="s">
        <v>1480</v>
      </c>
      <c r="C26" s="8" t="s">
        <v>1481</v>
      </c>
      <c r="D26" s="8" t="s">
        <v>1482</v>
      </c>
      <c r="E26" s="8" t="s">
        <v>1483</v>
      </c>
      <c r="F26" s="8" t="s">
        <v>1484</v>
      </c>
    </row>
    <row r="27" customFormat="false" ht="79.85" hidden="false" customHeight="false" outlineLevel="0" collapsed="false">
      <c r="A27" s="8" t="s">
        <v>1485</v>
      </c>
      <c r="B27" s="8" t="s">
        <v>1486</v>
      </c>
      <c r="C27" s="8" t="s">
        <v>1487</v>
      </c>
      <c r="D27" s="8" t="s">
        <v>1488</v>
      </c>
      <c r="E27" s="8" t="s">
        <v>1489</v>
      </c>
      <c r="F27" s="8" t="s">
        <v>1490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2026-10-13T12:47:28Z</dcterms:created>
  <dc:creator>openpyxl</dc:creator>
  <dc:description/>
  <dc:language>en-US</dc:language>
  <cp:lastModifiedBy/>
  <dcterms:modified xsi:type="dcterms:W3CDTF">2026-10-13T12:47:28Z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